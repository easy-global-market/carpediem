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Pressions" sheetId="2" state="visible" r:id="rId2"/>
    <sheet xmlns:r="http://schemas.openxmlformats.org/officeDocument/2006/relationships" name="Activités" sheetId="3" state="visible" r:id="rId3"/>
    <sheet xmlns:r="http://schemas.openxmlformats.org/officeDocument/2006/relationships" name="Ref_pressions_V2" sheetId="4" state="visible" r:id="rId4"/>
    <sheet xmlns:r="http://schemas.openxmlformats.org/officeDocument/2006/relationships" name="Ref_activites_V2" sheetId="5" state="visible" r:id="rId5"/>
  </sheets>
  <definedNames>
    <definedName name="_xlnm._FilterDatabase" localSheetId="1" hidden="1">'Pressions'!$A$2:$M$36</definedName>
    <definedName name="_xlnm._FilterDatabase" localSheetId="2" hidden="1">'Activités'!$A$2:$N$102</definedName>
    <definedName name="_xlnm._FilterDatabase" localSheetId="3" hidden="1">'Ref_pressions_V2'!$A$1:$F$49</definedName>
    <definedName name="_xlnm._FilterDatabase" localSheetId="4" hidden="1">'Ref_activites_V2'!$A$1:$C$131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sz val="9"/>
    </font>
  </fonts>
  <fills count="8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BF8F00"/>
        <bgColor rgb="FF808000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bottom"/>
    </xf>
    <xf numFmtId="0" fontId="7" fillId="4" borderId="0" applyAlignment="1" pivotButton="0" quotePrefix="0" xfId="0">
      <alignment horizontal="center" vertical="bottom"/>
    </xf>
    <xf numFmtId="0" fontId="7" fillId="2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top" wrapText="1"/>
    </xf>
    <xf numFmtId="0" fontId="6" fillId="6" borderId="1" applyAlignment="1" pivotButton="0" quotePrefix="0" xfId="0">
      <alignment horizontal="general" vertical="top" wrapText="1"/>
    </xf>
    <xf numFmtId="0" fontId="6" fillId="7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bottom"/>
    </xf>
    <xf numFmtId="0" fontId="7" fillId="4" borderId="0" applyAlignment="1" pivotButton="0" quotePrefix="0" xfId="0">
      <alignment horizontal="center" vertical="bottom"/>
    </xf>
    <xf numFmtId="0" fontId="7" fillId="2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top" wrapText="1"/>
    </xf>
    <xf numFmtId="0" fontId="6" fillId="6" borderId="1" applyAlignment="1" pivotButton="0" quotePrefix="0" xfId="0">
      <alignment horizontal="general" vertical="top" wrapText="1"/>
    </xf>
    <xf numFmtId="0" fontId="6" fillId="7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BF8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7" min="1" max="1"/>
    <col width="24" customWidth="1" style="17" min="2" max="2"/>
    <col width="22" customWidth="1" style="17" min="3" max="6"/>
  </cols>
  <sheetData>
    <row r="1" ht="17.35" customHeight="1" s="18">
      <c r="A1" s="19" t="inlineStr">
        <is>
          <t>Carpediem V2 : classeur de correspondance V1 vers V2 (modèle)</t>
        </is>
      </c>
    </row>
    <row r="3" ht="48" customHeight="1" s="18">
      <c r="A3" s="20" t="inlineStr">
        <is>
          <t>Objet</t>
        </is>
      </c>
      <c r="B3" s="21" t="inlineStr">
        <is>
          <t>Ce classeur sert à établir et à faire valider la correspondance entre les codes d'une étude Carpediem+ (V1) et les référentiels de la V2. Il est lu par les scripts de migration_v1_v2/ (voir le README de ce dossier) : ne pas déplacer ni insérer de colonnes.</t>
        </is>
      </c>
    </row>
    <row r="4" ht="48" customHeight="1" s="18">
      <c r="A4" s="20" t="inlineStr">
        <is>
          <t>Onglets</t>
        </is>
      </c>
      <c r="B4" s="21" t="inlineStr">
        <is>
          <t>Pressions : une ligne par pression de la typologie V1, avec une proposition de code V2. Activités : une ligne par couple (couche de données, activité V1), à compléter pour l'étude, y compris les couches présentes mais non utilisées dans l'étude V1. Ref_pressions_V2 et Ref_activites_V2 : référentiels V2 (lecture seule), sources des listes déroulantes.</t>
        </is>
      </c>
    </row>
    <row r="5" ht="48" customHeight="1" s="18">
      <c r="A5" s="20" t="inlineStr">
        <is>
          <t>À remplir</t>
        </is>
      </c>
      <c r="B5" s="21" t="inlineStr">
        <is>
          <t>Les colonnes « Proposition » sont remplies par la personne qui prépare la conversion. Les responsables scientifiques de l'étude remplissent les cellules sur fond jaune, dans les colonnes à en-tête orangé (« À remplir »).</t>
        </is>
      </c>
    </row>
    <row r="6" ht="48" customHeight="1" s="18">
      <c r="A6" s="20" t="inlineStr">
        <is>
          <t>Décision</t>
        </is>
      </c>
      <c r="B6" s="21" t="inlineStr">
        <is>
          <t>Validé : la proposition est retenue. Modifié : indiquer le code V2 retenu dans la colonne suivante. Sans équivalent : aucun code V2 ne convient. À exclure : la pression ou la couche ne doit pas être prise en compte.</t>
        </is>
      </c>
    </row>
    <row r="7" ht="48" customHeight="1" s="18">
      <c r="A7" s="20" t="inlineStr">
        <is>
          <t>Code V2 retenu</t>
        </is>
      </c>
      <c r="B7" s="21" t="inlineStr">
        <is>
          <t>Liste déroulante. À remplir pour « Modifié » ; pour « Validé », il peut rester vide (la proposition s'applique). Le libellé s'affiche automatiquement. Pour les pressions, choisir de préférence une « feuille » de l'arbre : un nœud composé est calculé à partir de ses enfants.</t>
        </is>
      </c>
    </row>
    <row r="8" ht="48" customHeight="1" s="18">
      <c r="A8" s="20" t="inlineStr">
        <is>
          <t>Évaluer (pressions)</t>
        </is>
      </c>
      <c r="B8" s="21" t="inlineStr">
        <is>
          <t>Oui / Non : la pression doit-elle être évaluée dans l'étude V2 ? Pour mémoire, la matrice V2 de référence (Baie de Seine) n'évalue que les pressions physiques.</t>
        </is>
      </c>
    </row>
    <row r="9" ht="48" customHeight="1" s="18">
      <c r="A9" s="20" t="inlineStr">
        <is>
          <t>Traitement (activités)</t>
        </is>
      </c>
      <c r="B9" s="21" t="inlineStr">
        <is>
          <t>Pour les couches qui alimentaient plusieurs activités dans l'étude V1, la V2 impose une seule activité par colonne d'intensité. Choisir : une seule activité retenue, répartition de l'intensité (préciser la clé en commentaire) ou duplication de la colonne (l'intensité est alors comptée pour chaque activité, comme en V1).</t>
        </is>
      </c>
    </row>
    <row r="10" ht="48" customHeight="1" s="18">
      <c r="A10" s="20" t="inlineStr">
        <is>
          <t>Statut de la proposition</t>
        </is>
      </c>
      <c r="B10" s="21" t="inlineStr">
        <is>
          <t>Proposé : correspondance évidente. À confirmer : correspondance probable, à vérifier. À arbitrer : plusieurs options ou pas d'équivalent, décision nécessaire.</t>
        </is>
      </c>
    </row>
    <row r="12" ht="15" customHeight="1" s="18">
      <c r="A12" s="20" t="inlineStr">
        <is>
          <t>Exemple de ligne remplie (onglet Pressions)</t>
        </is>
      </c>
    </row>
    <row r="13" ht="15" customHeight="1" s="18">
      <c r="A13" s="22" t="inlineStr">
        <is>
          <t>Code officiel</t>
        </is>
      </c>
      <c r="B13" s="22" t="inlineStr">
        <is>
          <t>Proposition V2</t>
        </is>
      </c>
      <c r="C13" s="22" t="inlineStr">
        <is>
          <t>Évaluer</t>
        </is>
      </c>
      <c r="D13" s="22" t="inlineStr">
        <is>
          <t>Décision</t>
        </is>
      </c>
      <c r="E13" s="22" t="inlineStr">
        <is>
          <t>Code V2 retenu</t>
        </is>
      </c>
      <c r="F13" s="22" t="inlineStr">
        <is>
          <t>Commentaire</t>
        </is>
      </c>
    </row>
    <row r="14" ht="35.05" customHeight="1" s="18">
      <c r="A14" s="23" t="inlineStr">
        <is>
          <t>Pr_SDE3_3</t>
        </is>
      </c>
      <c r="B14" s="23" t="inlineStr">
        <is>
          <t>Pr_P2_6_3</t>
        </is>
      </c>
      <c r="C14" s="24" t="inlineStr">
        <is>
          <t>Oui</t>
        </is>
      </c>
      <c r="D14" s="24" t="inlineStr">
        <is>
          <t>Modifié</t>
        </is>
      </c>
      <c r="E14" s="24" t="inlineStr">
        <is>
          <t>Pr_P2_6_2</t>
        </is>
      </c>
      <c r="F14" s="24" t="inlineStr">
        <is>
          <t>Les composés concernés dans la zone d'étude sont surtout des hydrocarbures.</t>
        </is>
      </c>
    </row>
    <row r="15" ht="15" customHeight="1" s="18">
      <c r="A15" s="25" t="inlineStr">
        <is>
          <t>(exemple fictif, à titre d'illustration du format)</t>
        </is>
      </c>
    </row>
    <row r="17" ht="15" customHeight="1" s="18">
      <c r="A17" s="20" t="inlineStr">
        <is>
          <t>Avancement</t>
        </is>
      </c>
    </row>
    <row r="18" ht="15" customHeight="1" s="18">
      <c r="A18" s="26" t="inlineStr">
        <is>
          <t>Pressions : décisions renseignées</t>
        </is>
      </c>
      <c r="B18" s="26">
        <f>COUNTA(Pressions!I3:I36)&amp;" / "&amp;COUNTA(Pressions!A3:A36)</f>
        <v/>
      </c>
    </row>
    <row r="19" ht="15" customHeight="1" s="18">
      <c r="A19" s="26" t="inlineStr">
        <is>
          <t>Activités : décisions renseignées</t>
        </is>
      </c>
      <c r="B19" s="26">
        <f>COUNTA(Activités!J3:J102)&amp;" / "&amp;COUNTA(Activités!A3:A102)</f>
        <v/>
      </c>
    </row>
  </sheetData>
  <mergeCells count="8">
    <mergeCell ref="B4:F4"/>
    <mergeCell ref="B7:F7"/>
    <mergeCell ref="B6:F6"/>
    <mergeCell ref="B10:F10"/>
    <mergeCell ref="B3:F3"/>
    <mergeCell ref="B5:F5"/>
    <mergeCell ref="B8:F8"/>
    <mergeCell ref="B9:F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17" min="1" max="1"/>
    <col width="40" customWidth="1" style="17" min="2" max="2"/>
    <col width="11" customWidth="1" style="17" min="3" max="3"/>
    <col width="13" customWidth="1" style="17" min="4" max="4"/>
    <col width="42" customWidth="1" style="17" min="5" max="5"/>
    <col width="14" customWidth="1" style="17" min="6" max="6"/>
    <col width="42" customWidth="1" style="17" min="7" max="7"/>
    <col width="13" customWidth="1" style="17" min="8" max="8"/>
    <col width="15" customWidth="1" style="17" min="9" max="9"/>
    <col width="16" customWidth="1" style="17" min="10" max="10"/>
    <col width="40" customWidth="1" style="17" min="11" max="11"/>
    <col width="15" customWidth="1" style="17" min="12" max="12"/>
    <col width="40" customWidth="1" style="17" min="13" max="13"/>
  </cols>
  <sheetData>
    <row r="1" ht="15" customHeight="1" s="18">
      <c r="A1" s="27" t="inlineStr">
        <is>
          <t>Proposition (ne pas modifier)</t>
        </is>
      </c>
      <c r="H1" s="28" t="inlineStr">
        <is>
          <t>À remplir</t>
        </is>
      </c>
    </row>
    <row r="2" ht="42" customHeight="1" s="18">
      <c r="A2" s="29" t="inlineStr">
        <is>
          <t>Code officiel</t>
        </is>
      </c>
      <c r="B2" s="29" t="inlineStr">
        <is>
          <t>Libellé officiel</t>
        </is>
      </c>
      <c r="C2" s="29" t="inlineStr">
        <is>
          <t>Évaluée dans l'étude V1</t>
        </is>
      </c>
      <c r="D2" s="29" t="inlineStr">
        <is>
          <t>Code V2 proposé</t>
        </is>
      </c>
      <c r="E2" s="29" t="inlineStr">
        <is>
          <t>Libellé V2 proposé</t>
        </is>
      </c>
      <c r="F2" s="29" t="inlineStr">
        <is>
          <t>Statut de la proposition</t>
        </is>
      </c>
      <c r="G2" s="29" t="inlineStr">
        <is>
          <t>Remarque</t>
        </is>
      </c>
      <c r="H2" s="30" t="inlineStr">
        <is>
          <t>Évaluer dans l'étude V2</t>
        </is>
      </c>
      <c r="I2" s="30" t="inlineStr">
        <is>
          <t>Décision</t>
        </is>
      </c>
      <c r="J2" s="30" t="inlineStr">
        <is>
          <t>Code V2 retenu (si modifié)</t>
        </is>
      </c>
      <c r="K2" s="30" t="inlineStr">
        <is>
          <t>Libellé V2 retenu</t>
        </is>
      </c>
      <c r="L2" s="30" t="inlineStr">
        <is>
          <t>Type (feuille / nœud)</t>
        </is>
      </c>
      <c r="M2" s="30" t="inlineStr">
        <is>
          <t>Commentaire</t>
        </is>
      </c>
    </row>
    <row r="3" ht="15" customHeight="1" s="18">
      <c r="A3" s="31" t="inlineStr">
        <is>
          <t>Pr_P1_1</t>
        </is>
      </c>
      <c r="B3" s="31" t="inlineStr">
        <is>
          <t>Substrate extraction</t>
        </is>
      </c>
      <c r="C3" s="31" t="n"/>
      <c r="D3" s="31" t="inlineStr">
        <is>
          <t>Pr_P1_3_2</t>
        </is>
      </c>
      <c r="E3" s="31">
        <f>IF(D3="","",IFERROR(TRIM(INDEX(Ref_pressions_V2!$B$2:$B$49,MATCH(D3,Ref_pressions_V2!$A$2:$A$49,0))),"Code inconnu"))</f>
        <v/>
      </c>
      <c r="F3" s="32" t="inlineStr">
        <is>
          <t>Proposé</t>
        </is>
      </c>
      <c r="G3" s="31" t="n"/>
      <c r="H3" s="24" t="n"/>
      <c r="I3" s="24" t="n"/>
      <c r="J3" s="24" t="n"/>
      <c r="K3" s="31">
        <f>IF(J3="","",IFERROR(TRIM(INDEX(Ref_pressions_V2!$B$2:$B$49,MATCH(J3,Ref_pressions_V2!$A$2:$A$49,0))),"Code inconnu"))</f>
        <v/>
      </c>
      <c r="L3" s="31">
        <f>IF(J3="","",IFERROR(INDEX(Ref_pressions_V2!$E$2:$E$49,MATCH(J3,Ref_pressions_V2!$A$2:$A$49,0)),""))</f>
        <v/>
      </c>
      <c r="M3" s="24" t="n"/>
    </row>
    <row r="4" ht="15" customHeight="1" s="18">
      <c r="A4" s="31" t="inlineStr">
        <is>
          <t>Pr_P1_2</t>
        </is>
      </c>
      <c r="B4" s="31" t="inlineStr">
        <is>
          <t>Sediment compaction</t>
        </is>
      </c>
      <c r="C4" s="31" t="n"/>
      <c r="D4" s="31" t="inlineStr">
        <is>
          <t>Pr_P1_3_3</t>
        </is>
      </c>
      <c r="E4" s="31">
        <f>IF(D4="","",IFERROR(TRIM(INDEX(Ref_pressions_V2!$B$2:$B$49,MATCH(D4,Ref_pressions_V2!$A$2:$A$49,0))),"Code inconnu"))</f>
        <v/>
      </c>
      <c r="F4" s="32" t="inlineStr">
        <is>
          <t>Proposé</t>
        </is>
      </c>
      <c r="G4" s="31" t="n"/>
      <c r="H4" s="24" t="n"/>
      <c r="I4" s="24" t="n"/>
      <c r="J4" s="24" t="n"/>
      <c r="K4" s="31">
        <f>IF(J4="","",IFERROR(TRIM(INDEX(Ref_pressions_V2!$B$2:$B$49,MATCH(J4,Ref_pressions_V2!$A$2:$A$49,0))),"Code inconnu"))</f>
        <v/>
      </c>
      <c r="L4" s="31">
        <f>IF(J4="","",IFERROR(INDEX(Ref_pressions_V2!$E$2:$E$49,MATCH(J4,Ref_pressions_V2!$A$2:$A$49,0)),""))</f>
        <v/>
      </c>
      <c r="M4" s="24" t="n"/>
    </row>
    <row r="5" ht="15" customHeight="1" s="18">
      <c r="A5" s="31" t="inlineStr">
        <is>
          <t>Pr_P1_3</t>
        </is>
      </c>
      <c r="B5" s="31" t="inlineStr">
        <is>
          <t>Surface abrasion</t>
        </is>
      </c>
      <c r="C5" s="31" t="n"/>
      <c r="D5" s="31" t="inlineStr">
        <is>
          <t>Pr_P1_3_1_1</t>
        </is>
      </c>
      <c r="E5" s="31">
        <f>IF(D5="","",IFERROR(TRIM(INDEX(Ref_pressions_V2!$B$2:$B$49,MATCH(D5,Ref_pressions_V2!$A$2:$A$49,0))),"Code inconnu"))</f>
        <v/>
      </c>
      <c r="F5" s="32" t="inlineStr">
        <is>
          <t>Proposé</t>
        </is>
      </c>
      <c r="G5" s="31" t="n"/>
      <c r="H5" s="24" t="n"/>
      <c r="I5" s="24" t="n"/>
      <c r="J5" s="24" t="n"/>
      <c r="K5" s="31">
        <f>IF(J5="","",IFERROR(TRIM(INDEX(Ref_pressions_V2!$B$2:$B$49,MATCH(J5,Ref_pressions_V2!$A$2:$A$49,0))),"Code inconnu"))</f>
        <v/>
      </c>
      <c r="L5" s="31">
        <f>IF(J5="","",IFERROR(INDEX(Ref_pressions_V2!$E$2:$E$49,MATCH(J5,Ref_pressions_V2!$A$2:$A$49,0)),""))</f>
        <v/>
      </c>
      <c r="M5" s="24" t="n"/>
    </row>
    <row r="6" ht="15" customHeight="1" s="18">
      <c r="A6" s="31" t="inlineStr">
        <is>
          <t>Pr_P1_4</t>
        </is>
      </c>
      <c r="B6" s="31" t="inlineStr">
        <is>
          <t>Shallow abrasion</t>
        </is>
      </c>
      <c r="C6" s="31" t="n"/>
      <c r="D6" s="31" t="inlineStr">
        <is>
          <t>Pr_P1_3_1_2</t>
        </is>
      </c>
      <c r="E6" s="31">
        <f>IF(D6="","",IFERROR(TRIM(INDEX(Ref_pressions_V2!$B$2:$B$49,MATCH(D6,Ref_pressions_V2!$A$2:$A$49,0))),"Code inconnu"))</f>
        <v/>
      </c>
      <c r="F6" s="32" t="inlineStr">
        <is>
          <t>Proposé</t>
        </is>
      </c>
      <c r="G6" s="31" t="n"/>
      <c r="H6" s="24" t="n"/>
      <c r="I6" s="24" t="n"/>
      <c r="J6" s="24" t="n"/>
      <c r="K6" s="31">
        <f>IF(J6="","",IFERROR(TRIM(INDEX(Ref_pressions_V2!$B$2:$B$49,MATCH(J6,Ref_pressions_V2!$A$2:$A$49,0))),"Code inconnu"))</f>
        <v/>
      </c>
      <c r="L6" s="31">
        <f>IF(J6="","",IFERROR(INDEX(Ref_pressions_V2!$E$2:$E$49,MATCH(J6,Ref_pressions_V2!$A$2:$A$49,0)),""))</f>
        <v/>
      </c>
      <c r="M6" s="24" t="n"/>
    </row>
    <row r="7" ht="15" customHeight="1" s="18">
      <c r="A7" s="31" t="inlineStr">
        <is>
          <t>Pr_P1_5</t>
        </is>
      </c>
      <c r="B7" s="31" t="inlineStr">
        <is>
          <t>Deep abrasion</t>
        </is>
      </c>
      <c r="C7" s="31" t="n"/>
      <c r="D7" s="31" t="inlineStr">
        <is>
          <t>Pr_P1_3_1_3</t>
        </is>
      </c>
      <c r="E7" s="31">
        <f>IF(D7="","",IFERROR(TRIM(INDEX(Ref_pressions_V2!$B$2:$B$49,MATCH(D7,Ref_pressions_V2!$A$2:$A$49,0))),"Code inconnu"))</f>
        <v/>
      </c>
      <c r="F7" s="32" t="inlineStr">
        <is>
          <t>Proposé</t>
        </is>
      </c>
      <c r="G7" s="31" t="n"/>
      <c r="H7" s="24" t="n"/>
      <c r="I7" s="24" t="n"/>
      <c r="J7" s="24" t="n"/>
      <c r="K7" s="31">
        <f>IF(J7="","",IFERROR(TRIM(INDEX(Ref_pressions_V2!$B$2:$B$49,MATCH(J7,Ref_pressions_V2!$A$2:$A$49,0))),"Code inconnu"))</f>
        <v/>
      </c>
      <c r="L7" s="31">
        <f>IF(J7="","",IFERROR(INDEX(Ref_pressions_V2!$E$2:$E$49,MATCH(J7,Ref_pressions_V2!$A$2:$A$49,0)),""))</f>
        <v/>
      </c>
      <c r="M7" s="24" t="n"/>
    </row>
    <row r="8" ht="15" customHeight="1" s="18">
      <c r="A8" s="31" t="inlineStr">
        <is>
          <t>Pr_P1_6</t>
        </is>
      </c>
      <c r="B8" s="31" t="inlineStr">
        <is>
          <t>Sediment reworking</t>
        </is>
      </c>
      <c r="C8" s="31" t="n"/>
      <c r="D8" s="31" t="inlineStr">
        <is>
          <t>Pr_P1_3_4</t>
        </is>
      </c>
      <c r="E8" s="31">
        <f>IF(D8="","",IFERROR(TRIM(INDEX(Ref_pressions_V2!$B$2:$B$49,MATCH(D8,Ref_pressions_V2!$A$2:$A$49,0))),"Code inconnu"))</f>
        <v/>
      </c>
      <c r="F8" s="32" t="inlineStr">
        <is>
          <t>Proposé</t>
        </is>
      </c>
      <c r="G8" s="31" t="n"/>
      <c r="H8" s="24" t="n"/>
      <c r="I8" s="24" t="n"/>
      <c r="J8" s="24" t="n"/>
      <c r="K8" s="31">
        <f>IF(J8="","",IFERROR(TRIM(INDEX(Ref_pressions_V2!$B$2:$B$49,MATCH(J8,Ref_pressions_V2!$A$2:$A$49,0))),"Code inconnu"))</f>
        <v/>
      </c>
      <c r="L8" s="31">
        <f>IF(J8="","",IFERROR(INDEX(Ref_pressions_V2!$E$2:$E$49,MATCH(J8,Ref_pressions_V2!$A$2:$A$49,0)),""))</f>
        <v/>
      </c>
      <c r="M8" s="24" t="n"/>
    </row>
    <row r="9" ht="15" customHeight="1" s="18">
      <c r="A9" s="31" t="inlineStr">
        <is>
          <t>Pr_P1_7</t>
        </is>
      </c>
      <c r="B9" s="31" t="inlineStr">
        <is>
          <t>Low sediment deposition</t>
        </is>
      </c>
      <c r="C9" s="31" t="n"/>
      <c r="D9" s="31" t="inlineStr">
        <is>
          <t>Pr_P1_3_5_1</t>
        </is>
      </c>
      <c r="E9" s="31">
        <f>IF(D9="","",IFERROR(TRIM(INDEX(Ref_pressions_V2!$B$2:$B$49,MATCH(D9,Ref_pressions_V2!$A$2:$A$49,0))),"Code inconnu"))</f>
        <v/>
      </c>
      <c r="F9" s="32" t="inlineStr">
        <is>
          <t>Proposé</t>
        </is>
      </c>
      <c r="G9" s="31" t="n"/>
      <c r="H9" s="24" t="n"/>
      <c r="I9" s="24" t="n"/>
      <c r="J9" s="24" t="n"/>
      <c r="K9" s="31">
        <f>IF(J9="","",IFERROR(TRIM(INDEX(Ref_pressions_V2!$B$2:$B$49,MATCH(J9,Ref_pressions_V2!$A$2:$A$49,0))),"Code inconnu"))</f>
        <v/>
      </c>
      <c r="L9" s="31">
        <f>IF(J9="","",IFERROR(INDEX(Ref_pressions_V2!$E$2:$E$49,MATCH(J9,Ref_pressions_V2!$A$2:$A$49,0)),""))</f>
        <v/>
      </c>
      <c r="M9" s="24" t="n"/>
    </row>
    <row r="10" ht="15" customHeight="1" s="18">
      <c r="A10" s="31" t="inlineStr">
        <is>
          <t>Pr_P1_8</t>
        </is>
      </c>
      <c r="B10" s="31" t="inlineStr">
        <is>
          <t>Significant sediment deposition</t>
        </is>
      </c>
      <c r="C10" s="31" t="n"/>
      <c r="D10" s="31" t="inlineStr">
        <is>
          <t>Pr_P1_3_5_2</t>
        </is>
      </c>
      <c r="E10" s="31">
        <f>IF(D10="","",IFERROR(TRIM(INDEX(Ref_pressions_V2!$B$2:$B$49,MATCH(D10,Ref_pressions_V2!$A$2:$A$49,0))),"Code inconnu"))</f>
        <v/>
      </c>
      <c r="F10" s="32" t="inlineStr">
        <is>
          <t>Proposé</t>
        </is>
      </c>
      <c r="G10" s="31" t="n"/>
      <c r="H10" s="24" t="n"/>
      <c r="I10" s="24" t="n"/>
      <c r="J10" s="24" t="n"/>
      <c r="K10" s="31">
        <f>IF(J10="","",IFERROR(TRIM(INDEX(Ref_pressions_V2!$B$2:$B$49,MATCH(J10,Ref_pressions_V2!$A$2:$A$49,0))),"Code inconnu"))</f>
        <v/>
      </c>
      <c r="L10" s="31">
        <f>IF(J10="","",IFERROR(INDEX(Ref_pressions_V2!$E$2:$E$49,MATCH(J10,Ref_pressions_V2!$A$2:$A$49,0)),""))</f>
        <v/>
      </c>
      <c r="M10" s="24" t="n"/>
    </row>
    <row r="11" ht="23.85" customHeight="1" s="18">
      <c r="A11" s="31" t="inlineStr">
        <is>
          <t>Pr_P2_1</t>
        </is>
      </c>
      <c r="B11" s="31" t="inlineStr">
        <is>
          <t>Loss of habitat</t>
        </is>
      </c>
      <c r="C11" s="31" t="n"/>
      <c r="D11" s="31" t="inlineStr">
        <is>
          <t>Pr_P1_1</t>
        </is>
      </c>
      <c r="E11" s="31">
        <f>IF(D11="","",IFERROR(TRIM(INDEX(Ref_pressions_V2!$B$2:$B$49,MATCH(D11,Ref_pressions_V2!$A$2:$A$49,0))),"Code inconnu"))</f>
        <v/>
      </c>
      <c r="F11" s="32" t="inlineStr">
        <is>
          <t>Proposé</t>
        </is>
      </c>
      <c r="G11" s="31" t="n"/>
      <c r="H11" s="24" t="n"/>
      <c r="I11" s="24" t="n"/>
      <c r="J11" s="24" t="n"/>
      <c r="K11" s="31">
        <f>IF(J11="","",IFERROR(TRIM(INDEX(Ref_pressions_V2!$B$2:$B$49,MATCH(J11,Ref_pressions_V2!$A$2:$A$49,0))),"Code inconnu"))</f>
        <v/>
      </c>
      <c r="L11" s="31">
        <f>IF(J11="","",IFERROR(INDEX(Ref_pressions_V2!$E$2:$E$49,MATCH(J11,Ref_pressions_V2!$A$2:$A$49,0)),""))</f>
        <v/>
      </c>
      <c r="M11" s="24" t="n"/>
    </row>
    <row r="12" ht="23.85" customHeight="1" s="18">
      <c r="A12" s="31" t="inlineStr">
        <is>
          <t>Pr_P2_2</t>
        </is>
      </c>
      <c r="B12" s="31" t="inlineStr">
        <is>
          <t>Habitat change</t>
        </is>
      </c>
      <c r="C12" s="31" t="n"/>
      <c r="D12" s="31" t="inlineStr">
        <is>
          <t>Pr_P1_2</t>
        </is>
      </c>
      <c r="E12" s="31">
        <f>IF(D12="","",IFERROR(TRIM(INDEX(Ref_pressions_V2!$B$2:$B$49,MATCH(D12,Ref_pressions_V2!$A$2:$A$49,0))),"Code inconnu"))</f>
        <v/>
      </c>
      <c r="F12" s="32" t="inlineStr">
        <is>
          <t>Proposé</t>
        </is>
      </c>
      <c r="G12" s="31" t="n"/>
      <c r="H12" s="24" t="n"/>
      <c r="I12" s="24" t="n"/>
      <c r="J12" s="24" t="n"/>
      <c r="K12" s="31">
        <f>IF(J12="","",IFERROR(TRIM(INDEX(Ref_pressions_V2!$B$2:$B$49,MATCH(J12,Ref_pressions_V2!$A$2:$A$49,0))),"Code inconnu"))</f>
        <v/>
      </c>
      <c r="L12" s="31">
        <f>IF(J12="","",IFERROR(INDEX(Ref_pressions_V2!$E$2:$E$49,MATCH(J12,Ref_pressions_V2!$A$2:$A$49,0)),""))</f>
        <v/>
      </c>
      <c r="M12" s="24" t="n"/>
    </row>
    <row r="13" ht="15" customHeight="1" s="18">
      <c r="A13" s="31" t="inlineStr">
        <is>
          <t>Pr_P3_1</t>
        </is>
      </c>
      <c r="B13" s="31" t="inlineStr">
        <is>
          <t>Changes to hydrodynamic conditions</t>
        </is>
      </c>
      <c r="C13" s="31" t="n"/>
      <c r="D13" s="31" t="inlineStr">
        <is>
          <t>Pr_P2_1_1</t>
        </is>
      </c>
      <c r="E13" s="31">
        <f>IF(D13="","",IFERROR(TRIM(INDEX(Ref_pressions_V2!$B$2:$B$49,MATCH(D13,Ref_pressions_V2!$A$2:$A$49,0))),"Code inconnu"))</f>
        <v/>
      </c>
      <c r="F13" s="32" t="inlineStr">
        <is>
          <t>Proposé</t>
        </is>
      </c>
      <c r="G13" s="31" t="n"/>
      <c r="H13" s="24" t="n"/>
      <c r="I13" s="24" t="n"/>
      <c r="J13" s="24" t="n"/>
      <c r="K13" s="31">
        <f>IF(J13="","",IFERROR(TRIM(INDEX(Ref_pressions_V2!$B$2:$B$49,MATCH(J13,Ref_pressions_V2!$A$2:$A$49,0))),"Code inconnu"))</f>
        <v/>
      </c>
      <c r="L13" s="31">
        <f>IF(J13="","",IFERROR(INDEX(Ref_pressions_V2!$E$2:$E$49,MATCH(J13,Ref_pressions_V2!$A$2:$A$49,0)),""))</f>
        <v/>
      </c>
      <c r="M13" s="24" t="n"/>
    </row>
    <row r="14" ht="15" customHeight="1" s="18">
      <c r="A14" s="31" t="inlineStr">
        <is>
          <t>Pr_P3_2</t>
        </is>
      </c>
      <c r="B14" s="31" t="inlineStr">
        <is>
          <t>Changes to particle load</t>
        </is>
      </c>
      <c r="C14" s="31" t="n"/>
      <c r="D14" s="31" t="inlineStr">
        <is>
          <t>Pr_P2_1_2</t>
        </is>
      </c>
      <c r="E14" s="31">
        <f>IF(D14="","",IFERROR(TRIM(INDEX(Ref_pressions_V2!$B$2:$B$49,MATCH(D14,Ref_pressions_V2!$A$2:$A$49,0))),"Code inconnu"))</f>
        <v/>
      </c>
      <c r="F14" s="32" t="inlineStr">
        <is>
          <t>Proposé</t>
        </is>
      </c>
      <c r="G14" s="31" t="n"/>
      <c r="H14" s="24" t="n"/>
      <c r="I14" s="24" t="n"/>
      <c r="J14" s="24" t="n"/>
      <c r="K14" s="31">
        <f>IF(J14="","",IFERROR(TRIM(INDEX(Ref_pressions_V2!$B$2:$B$49,MATCH(J14,Ref_pressions_V2!$A$2:$A$49,0))),"Code inconnu"))</f>
        <v/>
      </c>
      <c r="L14" s="31">
        <f>IF(J14="","",IFERROR(INDEX(Ref_pressions_V2!$E$2:$E$49,MATCH(J14,Ref_pressions_V2!$A$2:$A$49,0)),""))</f>
        <v/>
      </c>
      <c r="M14" s="24" t="n"/>
    </row>
    <row r="15" ht="15" customHeight="1" s="18">
      <c r="A15" s="31" t="inlineStr">
        <is>
          <t>Pr_P3_3</t>
        </is>
      </c>
      <c r="B15" s="31" t="inlineStr">
        <is>
          <t>Temperature change</t>
        </is>
      </c>
      <c r="C15" s="31" t="n"/>
      <c r="D15" s="31" t="inlineStr">
        <is>
          <t>Pr_P2_2_2</t>
        </is>
      </c>
      <c r="E15" s="31">
        <f>IF(D15="","",IFERROR(TRIM(INDEX(Ref_pressions_V2!$B$2:$B$49,MATCH(D15,Ref_pressions_V2!$A$2:$A$49,0))),"Code inconnu"))</f>
        <v/>
      </c>
      <c r="F15" s="32" t="inlineStr">
        <is>
          <t>Proposé</t>
        </is>
      </c>
      <c r="G15" s="31" t="n"/>
      <c r="H15" s="24" t="n"/>
      <c r="I15" s="24" t="n"/>
      <c r="J15" s="24" t="n"/>
      <c r="K15" s="31">
        <f>IF(J15="","",IFERROR(TRIM(INDEX(Ref_pressions_V2!$B$2:$B$49,MATCH(J15,Ref_pressions_V2!$A$2:$A$49,0))),"Code inconnu"))</f>
        <v/>
      </c>
      <c r="L15" s="31">
        <f>IF(J15="","",IFERROR(INDEX(Ref_pressions_V2!$E$2:$E$49,MATCH(J15,Ref_pressions_V2!$A$2:$A$49,0)),""))</f>
        <v/>
      </c>
      <c r="M15" s="24" t="n"/>
    </row>
    <row r="16" ht="15" customHeight="1" s="18">
      <c r="A16" s="31" t="inlineStr">
        <is>
          <t>Pr_P3_4</t>
        </is>
      </c>
      <c r="B16" s="31" t="inlineStr">
        <is>
          <t>Salinity change</t>
        </is>
      </c>
      <c r="C16" s="31" t="n"/>
      <c r="D16" s="31" t="inlineStr">
        <is>
          <t>Pr_P2_2_1</t>
        </is>
      </c>
      <c r="E16" s="31">
        <f>IF(D16="","",IFERROR(TRIM(INDEX(Ref_pressions_V2!$B$2:$B$49,MATCH(D16,Ref_pressions_V2!$A$2:$A$49,0))),"Code inconnu"))</f>
        <v/>
      </c>
      <c r="F16" s="32" t="inlineStr">
        <is>
          <t>Proposé</t>
        </is>
      </c>
      <c r="G16" s="31" t="n"/>
      <c r="H16" s="24" t="n"/>
      <c r="I16" s="24" t="n"/>
      <c r="J16" s="24" t="n"/>
      <c r="K16" s="31">
        <f>IF(J16="","",IFERROR(TRIM(INDEX(Ref_pressions_V2!$B$2:$B$49,MATCH(J16,Ref_pressions_V2!$A$2:$A$49,0))),"Code inconnu"))</f>
        <v/>
      </c>
      <c r="L16" s="31">
        <f>IF(J16="","",IFERROR(INDEX(Ref_pressions_V2!$E$2:$E$49,MATCH(J16,Ref_pressions_V2!$A$2:$A$49,0)),""))</f>
        <v/>
      </c>
      <c r="M16" s="24" t="n"/>
    </row>
    <row r="17" ht="23.85" customHeight="1" s="18">
      <c r="A17" s="31" t="inlineStr">
        <is>
          <t>Pr_SDE1_5</t>
        </is>
      </c>
      <c r="B17" s="31" t="inlineStr">
        <is>
          <t>Nutrient enrichment</t>
        </is>
      </c>
      <c r="C17" s="31" t="n"/>
      <c r="D17" s="31" t="inlineStr">
        <is>
          <t>Pr_P2_2_5</t>
        </is>
      </c>
      <c r="E17" s="31">
        <f>IF(D17="","",IFERROR(TRIM(INDEX(Ref_pressions_V2!$B$2:$B$49,MATCH(D17,Ref_pressions_V2!$A$2:$A$49,0))),"Code inconnu"))</f>
        <v/>
      </c>
      <c r="F17" s="32" t="inlineStr">
        <is>
          <t>Proposé</t>
        </is>
      </c>
      <c r="G17" s="31" t="n"/>
      <c r="H17" s="24" t="n"/>
      <c r="I17" s="24" t="n"/>
      <c r="J17" s="24" t="n"/>
      <c r="K17" s="31">
        <f>IF(J17="","",IFERROR(TRIM(INDEX(Ref_pressions_V2!$B$2:$B$49,MATCH(J17,Ref_pressions_V2!$A$2:$A$49,0))),"Code inconnu"))</f>
        <v/>
      </c>
      <c r="L17" s="31">
        <f>IF(J17="","",IFERROR(INDEX(Ref_pressions_V2!$E$2:$E$49,MATCH(J17,Ref_pressions_V2!$A$2:$A$49,0)),""))</f>
        <v/>
      </c>
      <c r="M17" s="24" t="n"/>
    </row>
    <row r="18" ht="23.85" customHeight="1" s="18">
      <c r="A18" s="31" t="inlineStr">
        <is>
          <t>Pr_SDE2_6</t>
        </is>
      </c>
      <c r="B18" s="31" t="inlineStr">
        <is>
          <t>Organic matter enrichment</t>
        </is>
      </c>
      <c r="C18" s="31" t="n"/>
      <c r="D18" s="31" t="inlineStr">
        <is>
          <t>Pr_P2_2_6</t>
        </is>
      </c>
      <c r="E18" s="31">
        <f>IF(D18="","",IFERROR(TRIM(INDEX(Ref_pressions_V2!$B$2:$B$49,MATCH(D18,Ref_pressions_V2!$A$2:$A$49,0))),"Code inconnu"))</f>
        <v/>
      </c>
      <c r="F18" s="32" t="inlineStr">
        <is>
          <t>Proposé</t>
        </is>
      </c>
      <c r="G18" s="31" t="n"/>
      <c r="H18" s="24" t="n"/>
      <c r="I18" s="24" t="n"/>
      <c r="J18" s="24" t="n"/>
      <c r="K18" s="31">
        <f>IF(J18="","",IFERROR(TRIM(INDEX(Ref_pressions_V2!$B$2:$B$49,MATCH(J18,Ref_pressions_V2!$A$2:$A$49,0))),"Code inconnu"))</f>
        <v/>
      </c>
      <c r="L18" s="31">
        <f>IF(J18="","",IFERROR(INDEX(Ref_pressions_V2!$E$2:$E$49,MATCH(J18,Ref_pressions_V2!$A$2:$A$49,0)),""))</f>
        <v/>
      </c>
      <c r="M18" s="24" t="n"/>
    </row>
    <row r="19" ht="15" customHeight="1" s="18">
      <c r="A19" s="31" t="inlineStr">
        <is>
          <t>Pr_SDE2_7</t>
        </is>
      </c>
      <c r="B19" s="31" t="inlineStr">
        <is>
          <t>Hypoxia</t>
        </is>
      </c>
      <c r="C19" s="31" t="n"/>
      <c r="D19" s="31" t="inlineStr">
        <is>
          <t>Pr_P2_2_7</t>
        </is>
      </c>
      <c r="E19" s="31">
        <f>IF(D19="","",IFERROR(TRIM(INDEX(Ref_pressions_V2!$B$2:$B$49,MATCH(D19,Ref_pressions_V2!$A$2:$A$49,0))),"Code inconnu"))</f>
        <v/>
      </c>
      <c r="F19" s="32" t="inlineStr">
        <is>
          <t>Proposé</t>
        </is>
      </c>
      <c r="G19" s="31" t="n"/>
      <c r="H19" s="24" t="n"/>
      <c r="I19" s="24" t="n"/>
      <c r="J19" s="24" t="n"/>
      <c r="K19" s="31">
        <f>IF(J19="","",IFERROR(TRIM(INDEX(Ref_pressions_V2!$B$2:$B$49,MATCH(J19,Ref_pressions_V2!$A$2:$A$49,0))),"Code inconnu"))</f>
        <v/>
      </c>
      <c r="L19" s="31">
        <f>IF(J19="","",IFERROR(INDEX(Ref_pressions_V2!$E$2:$E$49,MATCH(J19,Ref_pressions_V2!$A$2:$A$49,0)),""))</f>
        <v/>
      </c>
      <c r="M19" s="24" t="n"/>
    </row>
    <row r="20" ht="23.85" customHeight="1" s="18">
      <c r="A20" s="31" t="inlineStr">
        <is>
          <t>Pr_SDE3_1</t>
        </is>
      </c>
      <c r="B20" s="31" t="inlineStr">
        <is>
          <t>Radionuclide contamination</t>
        </is>
      </c>
      <c r="C20" s="31" t="n"/>
      <c r="D20" s="31" t="inlineStr">
        <is>
          <t>Pr_P2_3_2</t>
        </is>
      </c>
      <c r="E20" s="31">
        <f>IF(D20="","",IFERROR(TRIM(INDEX(Ref_pressions_V2!$B$2:$B$49,MATCH(D20,Ref_pressions_V2!$A$2:$A$49,0))),"Code inconnu"))</f>
        <v/>
      </c>
      <c r="F20" s="32" t="inlineStr">
        <is>
          <t>Proposé</t>
        </is>
      </c>
      <c r="G20" s="31" t="n"/>
      <c r="H20" s="24" t="n"/>
      <c r="I20" s="24" t="n"/>
      <c r="J20" s="24" t="n"/>
      <c r="K20" s="31">
        <f>IF(J20="","",IFERROR(TRIM(INDEX(Ref_pressions_V2!$B$2:$B$49,MATCH(J20,Ref_pressions_V2!$A$2:$A$49,0))),"Code inconnu"))</f>
        <v/>
      </c>
      <c r="L20" s="31">
        <f>IF(J20="","",IFERROR(INDEX(Ref_pressions_V2!$E$2:$E$49,MATCH(J20,Ref_pressions_V2!$A$2:$A$49,0)),""))</f>
        <v/>
      </c>
      <c r="M20" s="24" t="n"/>
    </row>
    <row r="21" ht="23.85" customHeight="1" s="18">
      <c r="A21" s="31" t="inlineStr">
        <is>
          <t>Pr_SDE3_2</t>
        </is>
      </c>
      <c r="B21" s="31" t="inlineStr">
        <is>
          <t>Metals (synthetic and non-synthetic origin)</t>
        </is>
      </c>
      <c r="C21" s="31" t="n"/>
      <c r="D21" s="31" t="inlineStr">
        <is>
          <t>Pr_P2_6_1</t>
        </is>
      </c>
      <c r="E21" s="31">
        <f>IF(D21="","",IFERROR(TRIM(INDEX(Ref_pressions_V2!$B$2:$B$49,MATCH(D21,Ref_pressions_V2!$A$2:$A$49,0))),"Code inconnu"))</f>
        <v/>
      </c>
      <c r="F21" s="32" t="inlineStr">
        <is>
          <t>Proposé</t>
        </is>
      </c>
      <c r="G21" s="31" t="n"/>
      <c r="H21" s="24" t="n"/>
      <c r="I21" s="24" t="n"/>
      <c r="J21" s="24" t="n"/>
      <c r="K21" s="31">
        <f>IF(J21="","",IFERROR(TRIM(INDEX(Ref_pressions_V2!$B$2:$B$49,MATCH(J21,Ref_pressions_V2!$A$2:$A$49,0))),"Code inconnu"))</f>
        <v/>
      </c>
      <c r="L21" s="31">
        <f>IF(J21="","",IFERROR(INDEX(Ref_pressions_V2!$E$2:$E$49,MATCH(J21,Ref_pressions_V2!$A$2:$A$49,0)),""))</f>
        <v/>
      </c>
      <c r="M21" s="24" t="n"/>
    </row>
    <row r="22" ht="23.85" customHeight="1" s="18">
      <c r="A22" s="31" t="inlineStr">
        <is>
          <t>Pr_SDE3_3</t>
        </is>
      </c>
      <c r="B22" s="31" t="inlineStr">
        <is>
          <t>Organic and inorganic compounds</t>
        </is>
      </c>
      <c r="C22" s="31" t="n"/>
      <c r="D22" s="31" t="inlineStr">
        <is>
          <t>Pr_P2_6_3</t>
        </is>
      </c>
      <c r="E22" s="31">
        <f>IF(D22="","",IFERROR(TRIM(INDEX(Ref_pressions_V2!$B$2:$B$49,MATCH(D22,Ref_pressions_V2!$A$2:$A$49,0))),"Code inconnu"))</f>
        <v/>
      </c>
      <c r="F22" s="33" t="inlineStr">
        <is>
          <t>À arbitrer</t>
        </is>
      </c>
      <c r="G22" s="31" t="inlineStr">
        <is>
          <t>Pourrait aussi correspondre à Pr_P2_6_2 (hydrocarbures et HAP), ou aux deux.</t>
        </is>
      </c>
      <c r="H22" s="24" t="n"/>
      <c r="I22" s="24" t="n"/>
      <c r="J22" s="24" t="n"/>
      <c r="K22" s="31">
        <f>IF(J22="","",IFERROR(TRIM(INDEX(Ref_pressions_V2!$B$2:$B$49,MATCH(J22,Ref_pressions_V2!$A$2:$A$49,0))),"Code inconnu"))</f>
        <v/>
      </c>
      <c r="L22" s="31">
        <f>IF(J22="","",IFERROR(INDEX(Ref_pressions_V2!$E$2:$E$49,MATCH(J22,Ref_pressions_V2!$A$2:$A$49,0)),""))</f>
        <v/>
      </c>
      <c r="M22" s="24" t="n"/>
    </row>
    <row r="23" ht="15" customHeight="1" s="18">
      <c r="A23" s="31" t="inlineStr">
        <is>
          <t>Pr_SDE3_4</t>
        </is>
      </c>
      <c r="B23" s="31" t="inlineStr">
        <is>
          <t>Input of other substances (solids, liquids, gases)</t>
        </is>
      </c>
      <c r="C23" s="31" t="n"/>
      <c r="D23" s="31" t="n"/>
      <c r="E23" s="31">
        <f>IF(D23="","",IFERROR(TRIM(INDEX(Ref_pressions_V2!$B$2:$B$49,MATCH(D23,Ref_pressions_V2!$A$2:$A$49,0))),"Code inconnu"))</f>
        <v/>
      </c>
      <c r="F23" s="33" t="inlineStr">
        <is>
          <t>À arbitrer</t>
        </is>
      </c>
      <c r="G23" s="31" t="inlineStr">
        <is>
          <t>Pas d'équivalent direct en V2.</t>
        </is>
      </c>
      <c r="H23" s="24" t="n"/>
      <c r="I23" s="24" t="n"/>
      <c r="J23" s="24" t="n"/>
      <c r="K23" s="31">
        <f>IF(J23="","",IFERROR(TRIM(INDEX(Ref_pressions_V2!$B$2:$B$49,MATCH(J23,Ref_pressions_V2!$A$2:$A$49,0))),"Code inconnu"))</f>
        <v/>
      </c>
      <c r="L23" s="31">
        <f>IF(J23="","",IFERROR(INDEX(Ref_pressions_V2!$E$2:$E$49,MATCH(J23,Ref_pressions_V2!$A$2:$A$49,0)),""))</f>
        <v/>
      </c>
      <c r="M23" s="24" t="n"/>
    </row>
    <row r="24" ht="15" customHeight="1" s="18">
      <c r="A24" s="31" t="inlineStr">
        <is>
          <t>Pr_SDE4_8</t>
        </is>
      </c>
      <c r="B24" s="31" t="inlineStr">
        <is>
          <t>Waste</t>
        </is>
      </c>
      <c r="C24" s="31" t="n"/>
      <c r="D24" s="31" t="inlineStr">
        <is>
          <t>Pr_P2_5</t>
        </is>
      </c>
      <c r="E24" s="31">
        <f>IF(D24="","",IFERROR(TRIM(INDEX(Ref_pressions_V2!$B$2:$B$49,MATCH(D24,Ref_pressions_V2!$A$2:$A$49,0))),"Code inconnu"))</f>
        <v/>
      </c>
      <c r="F24" s="32" t="inlineStr">
        <is>
          <t>Proposé</t>
        </is>
      </c>
      <c r="G24" s="31" t="n"/>
      <c r="H24" s="24" t="n"/>
      <c r="I24" s="24" t="n"/>
      <c r="J24" s="24" t="n"/>
      <c r="K24" s="31">
        <f>IF(J24="","",IFERROR(TRIM(INDEX(Ref_pressions_V2!$B$2:$B$49,MATCH(J24,Ref_pressions_V2!$A$2:$A$49,0))),"Code inconnu"))</f>
        <v/>
      </c>
      <c r="L24" s="31">
        <f>IF(J24="","",IFERROR(INDEX(Ref_pressions_V2!$E$2:$E$49,MATCH(J24,Ref_pressions_V2!$A$2:$A$49,0)),""))</f>
        <v/>
      </c>
      <c r="M24" s="24" t="n"/>
    </row>
    <row r="25" ht="23.85" customHeight="1" s="18">
      <c r="A25" s="31" t="inlineStr">
        <is>
          <t>Pr_SDE5_1</t>
        </is>
      </c>
      <c r="B25" s="31" t="inlineStr">
        <is>
          <t>Introduction of noise</t>
        </is>
      </c>
      <c r="C25" s="31" t="n"/>
      <c r="D25" s="31" t="inlineStr">
        <is>
          <t>Pr_P2_4</t>
        </is>
      </c>
      <c r="E25" s="31">
        <f>IF(D25="","",IFERROR(TRIM(INDEX(Ref_pressions_V2!$B$2:$B$49,MATCH(D25,Ref_pressions_V2!$A$2:$A$49,0))),"Code inconnu"))</f>
        <v/>
      </c>
      <c r="F25" s="32" t="inlineStr">
        <is>
          <t>Proposé</t>
        </is>
      </c>
      <c r="G25" s="31" t="n"/>
      <c r="H25" s="24" t="n"/>
      <c r="I25" s="24" t="n"/>
      <c r="J25" s="24" t="n"/>
      <c r="K25" s="31">
        <f>IF(J25="","",IFERROR(TRIM(INDEX(Ref_pressions_V2!$B$2:$B$49,MATCH(J25,Ref_pressions_V2!$A$2:$A$49,0))),"Code inconnu"))</f>
        <v/>
      </c>
      <c r="L25" s="31">
        <f>IF(J25="","",IFERROR(INDEX(Ref_pressions_V2!$E$2:$E$49,MATCH(J25,Ref_pressions_V2!$A$2:$A$49,0)),""))</f>
        <v/>
      </c>
      <c r="M25" s="24" t="n"/>
    </row>
    <row r="26" ht="35.05" customHeight="1" s="18">
      <c r="A26" s="31" t="inlineStr">
        <is>
          <t>Pr_SDE6_1</t>
        </is>
      </c>
      <c r="B26" s="31" t="inlineStr">
        <is>
          <t>Electromagnetic fields</t>
        </is>
      </c>
      <c r="C26" s="31" t="n"/>
      <c r="D26" s="31" t="n"/>
      <c r="E26" s="31">
        <f>IF(D26="","",IFERROR(TRIM(INDEX(Ref_pressions_V2!$B$2:$B$49,MATCH(D26,Ref_pressions_V2!$A$2:$A$49,0))),"Code inconnu"))</f>
        <v/>
      </c>
      <c r="F26" s="33" t="inlineStr">
        <is>
          <t>À arbitrer</t>
        </is>
      </c>
      <c r="G26" s="31" t="inlineStr">
        <is>
          <t>Pas de feuille équivalente : en V2, Pr_P2_3 (champs électromagnétiques) est un nœud regroupant lumière et radionucléides.</t>
        </is>
      </c>
      <c r="H26" s="24" t="n"/>
      <c r="I26" s="24" t="n"/>
      <c r="J26" s="24" t="n"/>
      <c r="K26" s="31">
        <f>IF(J26="","",IFERROR(TRIM(INDEX(Ref_pressions_V2!$B$2:$B$49,MATCH(J26,Ref_pressions_V2!$A$2:$A$49,0))),"Code inconnu"))</f>
        <v/>
      </c>
      <c r="L26" s="31">
        <f>IF(J26="","",IFERROR(INDEX(Ref_pressions_V2!$E$2:$E$49,MATCH(J26,Ref_pressions_V2!$A$2:$A$49,0)),""))</f>
        <v/>
      </c>
      <c r="M26" s="24" t="n"/>
    </row>
    <row r="27" ht="23.85" customHeight="1" s="18">
      <c r="A27" s="31" t="inlineStr">
        <is>
          <t>Pr_SDE6_2</t>
        </is>
      </c>
      <c r="B27" s="31" t="inlineStr">
        <is>
          <t>Introduction of light</t>
        </is>
      </c>
      <c r="C27" s="31" t="n"/>
      <c r="D27" s="31" t="inlineStr">
        <is>
          <t>Pr_P2_3_1_1</t>
        </is>
      </c>
      <c r="E27" s="31">
        <f>IF(D27="","",IFERROR(TRIM(INDEX(Ref_pressions_V2!$B$2:$B$49,MATCH(D27,Ref_pressions_V2!$A$2:$A$49,0))),"Code inconnu"))</f>
        <v/>
      </c>
      <c r="F27" s="32" t="inlineStr">
        <is>
          <t>Proposé</t>
        </is>
      </c>
      <c r="G27" s="31" t="n"/>
      <c r="H27" s="24" t="n"/>
      <c r="I27" s="24" t="n"/>
      <c r="J27" s="24" t="n"/>
      <c r="K27" s="31">
        <f>IF(J27="","",IFERROR(TRIM(INDEX(Ref_pressions_V2!$B$2:$B$49,MATCH(J27,Ref_pressions_V2!$A$2:$A$49,0))),"Code inconnu"))</f>
        <v/>
      </c>
      <c r="L27" s="31">
        <f>IF(J27="","",IFERROR(INDEX(Ref_pressions_V2!$E$2:$E$49,MATCH(J27,Ref_pressions_V2!$A$2:$A$49,0)),""))</f>
        <v/>
      </c>
      <c r="M27" s="24" t="n"/>
    </row>
    <row r="28" ht="23.85" customHeight="1" s="18">
      <c r="A28" s="31" t="inlineStr">
        <is>
          <t>_0</t>
        </is>
      </c>
      <c r="B28" s="31" t="inlineStr">
        <is>
          <t>Exposure to toxic algal blooms</t>
        </is>
      </c>
      <c r="C28" s="31" t="n"/>
      <c r="D28" s="31" t="inlineStr">
        <is>
          <t>Pr_P3_3</t>
        </is>
      </c>
      <c r="E28" s="31">
        <f>IF(D28="","",IFERROR(TRIM(INDEX(Ref_pressions_V2!$B$2:$B$49,MATCH(D28,Ref_pressions_V2!$A$2:$A$49,0))),"Code inconnu"))</f>
        <v/>
      </c>
      <c r="F28" s="24" t="inlineStr">
        <is>
          <t>À confirmer</t>
        </is>
      </c>
      <c r="G28" s="31" t="inlineStr">
        <is>
          <t>Code officiel incomplet (« _0 »).</t>
        </is>
      </c>
      <c r="H28" s="24" t="n"/>
      <c r="I28" s="24" t="n"/>
      <c r="J28" s="24" t="n"/>
      <c r="K28" s="31">
        <f>IF(J28="","",IFERROR(TRIM(INDEX(Ref_pressions_V2!$B$2:$B$49,MATCH(J28,Ref_pressions_V2!$A$2:$A$49,0))),"Code inconnu"))</f>
        <v/>
      </c>
      <c r="L28" s="31">
        <f>IF(J28="","",IFERROR(INDEX(Ref_pressions_V2!$E$2:$E$49,MATCH(J28,Ref_pressions_V2!$A$2:$A$49,0)),""))</f>
        <v/>
      </c>
      <c r="M28" s="24" t="n"/>
    </row>
    <row r="29" ht="23.85" customHeight="1" s="18">
      <c r="A29" s="31" t="inlineStr">
        <is>
          <t>Pr_B1_1</t>
        </is>
      </c>
      <c r="B29" s="31" t="inlineStr">
        <is>
          <t>Introduction or spread of non-indigenous species</t>
        </is>
      </c>
      <c r="C29" s="31" t="n"/>
      <c r="D29" s="31" t="inlineStr">
        <is>
          <t>Pr_P3_1</t>
        </is>
      </c>
      <c r="E29" s="31">
        <f>IF(D29="","",IFERROR(TRIM(INDEX(Ref_pressions_V2!$B$2:$B$49,MATCH(D29,Ref_pressions_V2!$A$2:$A$49,0))),"Code inconnu"))</f>
        <v/>
      </c>
      <c r="F29" s="32" t="inlineStr">
        <is>
          <t>Proposé</t>
        </is>
      </c>
      <c r="G29" s="31" t="n"/>
      <c r="H29" s="24" t="n"/>
      <c r="I29" s="24" t="n"/>
      <c r="J29" s="24" t="n"/>
      <c r="K29" s="31">
        <f>IF(J29="","",IFERROR(TRIM(INDEX(Ref_pressions_V2!$B$2:$B$49,MATCH(J29,Ref_pressions_V2!$A$2:$A$49,0))),"Code inconnu"))</f>
        <v/>
      </c>
      <c r="L29" s="31">
        <f>IF(J29="","",IFERROR(INDEX(Ref_pressions_V2!$E$2:$E$49,MATCH(J29,Ref_pressions_V2!$A$2:$A$49,0)),""))</f>
        <v/>
      </c>
      <c r="M29" s="24" t="n"/>
    </row>
    <row r="30" ht="23.85" customHeight="1" s="18">
      <c r="A30" s="31" t="inlineStr">
        <is>
          <t>Pr_B2_1</t>
        </is>
      </c>
      <c r="B30" s="31" t="inlineStr">
        <is>
          <t>Introduction of pathogens</t>
        </is>
      </c>
      <c r="C30" s="31" t="n"/>
      <c r="D30" s="31" t="inlineStr">
        <is>
          <t>Pr_P3_2</t>
        </is>
      </c>
      <c r="E30" s="31">
        <f>IF(D30="","",IFERROR(TRIM(INDEX(Ref_pressions_V2!$B$2:$B$49,MATCH(D30,Ref_pressions_V2!$A$2:$A$49,0))),"Code inconnu"))</f>
        <v/>
      </c>
      <c r="F30" s="32" t="inlineStr">
        <is>
          <t>Proposé</t>
        </is>
      </c>
      <c r="G30" s="31" t="n"/>
      <c r="H30" s="24" t="n"/>
      <c r="I30" s="24" t="n"/>
      <c r="J30" s="24" t="n"/>
      <c r="K30" s="31">
        <f>IF(J30="","",IFERROR(TRIM(INDEX(Ref_pressions_V2!$B$2:$B$49,MATCH(J30,Ref_pressions_V2!$A$2:$A$49,0))),"Code inconnu"))</f>
        <v/>
      </c>
      <c r="L30" s="31">
        <f>IF(J30="","",IFERROR(INDEX(Ref_pressions_V2!$E$2:$E$49,MATCH(J30,Ref_pressions_V2!$A$2:$A$49,0)),""))</f>
        <v/>
      </c>
      <c r="M30" s="24" t="n"/>
    </row>
    <row r="31" ht="35.05" customHeight="1" s="18">
      <c r="A31" s="31" t="inlineStr">
        <is>
          <t>Pr_B3_1</t>
        </is>
      </c>
      <c r="B31" s="31" t="inlineStr">
        <is>
          <t>Introduction of genetically distinct individuals from indigenous species</t>
        </is>
      </c>
      <c r="C31" s="31" t="n"/>
      <c r="D31" s="31" t="inlineStr">
        <is>
          <t>Pr_P3_4</t>
        </is>
      </c>
      <c r="E31" s="31">
        <f>IF(D31="","",IFERROR(TRIM(INDEX(Ref_pressions_V2!$B$2:$B$49,MATCH(D31,Ref_pressions_V2!$A$2:$A$49,0))),"Code inconnu"))</f>
        <v/>
      </c>
      <c r="F31" s="24" t="inlineStr">
        <is>
          <t>À confirmer</t>
        </is>
      </c>
      <c r="G31" s="31" t="inlineStr">
        <is>
          <t>Pourrait aussi correspondre à Pr_P3_6 (appauvrissement génétique).</t>
        </is>
      </c>
      <c r="H31" s="24" t="n"/>
      <c r="I31" s="24" t="n"/>
      <c r="J31" s="24" t="n"/>
      <c r="K31" s="31">
        <f>IF(J31="","",IFERROR(TRIM(INDEX(Ref_pressions_V2!$B$2:$B$49,MATCH(J31,Ref_pressions_V2!$A$2:$A$49,0))),"Code inconnu"))</f>
        <v/>
      </c>
      <c r="L31" s="31">
        <f>IF(J31="","",IFERROR(INDEX(Ref_pressions_V2!$E$2:$E$49,MATCH(J31,Ref_pressions_V2!$A$2:$A$49,0)),""))</f>
        <v/>
      </c>
      <c r="M31" s="24" t="n"/>
    </row>
    <row r="32" ht="15" customHeight="1" s="18">
      <c r="A32" s="31" t="inlineStr">
        <is>
          <t>Pr_B5_1</t>
        </is>
      </c>
      <c r="B32" s="31" t="inlineStr">
        <is>
          <t>Obstacle to species movement</t>
        </is>
      </c>
      <c r="C32" s="31" t="n"/>
      <c r="D32" s="31" t="inlineStr">
        <is>
          <t>Pr_P1_4_1</t>
        </is>
      </c>
      <c r="E32" s="31">
        <f>IF(D32="","",IFERROR(TRIM(INDEX(Ref_pressions_V2!$B$2:$B$49,MATCH(D32,Ref_pressions_V2!$A$2:$A$49,0))),"Code inconnu"))</f>
        <v/>
      </c>
      <c r="F32" s="32" t="inlineStr">
        <is>
          <t>Proposé</t>
        </is>
      </c>
      <c r="G32" s="31" t="n"/>
      <c r="H32" s="24" t="n"/>
      <c r="I32" s="24" t="n"/>
      <c r="J32" s="24" t="n"/>
      <c r="K32" s="31">
        <f>IF(J32="","",IFERROR(TRIM(INDEX(Ref_pressions_V2!$B$2:$B$49,MATCH(J32,Ref_pressions_V2!$A$2:$A$49,0))),"Code inconnu"))</f>
        <v/>
      </c>
      <c r="L32" s="31">
        <f>IF(J32="","",IFERROR(INDEX(Ref_pressions_V2!$E$2:$E$49,MATCH(J32,Ref_pressions_V2!$A$2:$A$49,0)),""))</f>
        <v/>
      </c>
      <c r="M32" s="24" t="n"/>
    </row>
    <row r="33" ht="15" customHeight="1" s="18">
      <c r="A33" s="31" t="inlineStr">
        <is>
          <t>Pr_B5_2</t>
        </is>
      </c>
      <c r="B33" s="31" t="inlineStr">
        <is>
          <t>Human presence (disturbance, excluding noise)</t>
        </is>
      </c>
      <c r="C33" s="31" t="n"/>
      <c r="D33" s="31" t="inlineStr">
        <is>
          <t>Pr_P1_4_2</t>
        </is>
      </c>
      <c r="E33" s="31">
        <f>IF(D33="","",IFERROR(TRIM(INDEX(Ref_pressions_V2!$B$2:$B$49,MATCH(D33,Ref_pressions_V2!$A$2:$A$49,0))),"Code inconnu"))</f>
        <v/>
      </c>
      <c r="F33" s="32" t="inlineStr">
        <is>
          <t>Proposé</t>
        </is>
      </c>
      <c r="G33" s="31" t="n"/>
      <c r="H33" s="24" t="n"/>
      <c r="I33" s="24" t="n"/>
      <c r="J33" s="24" t="n"/>
      <c r="K33" s="31">
        <f>IF(J33="","",IFERROR(TRIM(INDEX(Ref_pressions_V2!$B$2:$B$49,MATCH(J33,Ref_pressions_V2!$A$2:$A$49,0))),"Code inconnu"))</f>
        <v/>
      </c>
      <c r="L33" s="31">
        <f>IF(J33="","",IFERROR(INDEX(Ref_pressions_V2!$E$2:$E$49,MATCH(J33,Ref_pressions_V2!$A$2:$A$49,0)),""))</f>
        <v/>
      </c>
      <c r="M33" s="24" t="n"/>
    </row>
    <row r="34" ht="15" customHeight="1" s="18">
      <c r="A34" s="31" t="inlineStr">
        <is>
          <t>Pr_B6_1</t>
        </is>
      </c>
      <c r="B34" s="31" t="inlineStr">
        <is>
          <t>Target species extraction</t>
        </is>
      </c>
      <c r="C34" s="31" t="n"/>
      <c r="D34" s="31" t="inlineStr">
        <is>
          <t>Pr_P1_4_4</t>
        </is>
      </c>
      <c r="E34" s="31">
        <f>IF(D34="","",IFERROR(TRIM(INDEX(Ref_pressions_V2!$B$2:$B$49,MATCH(D34,Ref_pressions_V2!$A$2:$A$49,0))),"Code inconnu"))</f>
        <v/>
      </c>
      <c r="F34" s="32" t="inlineStr">
        <is>
          <t>Proposé</t>
        </is>
      </c>
      <c r="G34" s="31" t="n"/>
      <c r="H34" s="24" t="n"/>
      <c r="I34" s="24" t="n"/>
      <c r="J34" s="24" t="n"/>
      <c r="K34" s="31">
        <f>IF(J34="","",IFERROR(TRIM(INDEX(Ref_pressions_V2!$B$2:$B$49,MATCH(J34,Ref_pressions_V2!$A$2:$A$49,0))),"Code inconnu"))</f>
        <v/>
      </c>
      <c r="L34" s="31">
        <f>IF(J34="","",IFERROR(INDEX(Ref_pressions_V2!$E$2:$E$49,MATCH(J34,Ref_pressions_V2!$A$2:$A$49,0)),""))</f>
        <v/>
      </c>
      <c r="M34" s="24" t="n"/>
    </row>
    <row r="35" ht="23.85" customHeight="1" s="18">
      <c r="A35" s="31" t="inlineStr">
        <is>
          <t>Pr_B6_2</t>
        </is>
      </c>
      <c r="B35" s="31" t="inlineStr">
        <is>
          <t>Bycatch (non-targeted species extraction)</t>
        </is>
      </c>
      <c r="C35" s="31" t="n"/>
      <c r="D35" s="31" t="inlineStr">
        <is>
          <t>Pr_P1_4_3</t>
        </is>
      </c>
      <c r="E35" s="31">
        <f>IF(D35="","",IFERROR(TRIM(INDEX(Ref_pressions_V2!$B$2:$B$49,MATCH(D35,Ref_pressions_V2!$A$2:$A$49,0))),"Code inconnu"))</f>
        <v/>
      </c>
      <c r="F35" s="24" t="inlineStr">
        <is>
          <t>À confirmer</t>
        </is>
      </c>
      <c r="G35" s="31" t="inlineStr">
        <is>
          <t>Pourrait aussi relever de Pr_P1_4_4 (prélèvement).</t>
        </is>
      </c>
      <c r="H35" s="24" t="n"/>
      <c r="I35" s="24" t="n"/>
      <c r="J35" s="24" t="n"/>
      <c r="K35" s="31">
        <f>IF(J35="","",IFERROR(TRIM(INDEX(Ref_pressions_V2!$B$2:$B$49,MATCH(J35,Ref_pressions_V2!$A$2:$A$49,0))),"Code inconnu"))</f>
        <v/>
      </c>
      <c r="L35" s="31">
        <f>IF(J35="","",IFERROR(INDEX(Ref_pressions_V2!$E$2:$E$49,MATCH(J35,Ref_pressions_V2!$A$2:$A$49,0)),""))</f>
        <v/>
      </c>
      <c r="M35" s="24" t="n"/>
    </row>
    <row r="36" ht="23.85" customHeight="1" s="18">
      <c r="A36" s="31" t="inlineStr">
        <is>
          <t>Pr_B6_3</t>
        </is>
      </c>
      <c r="B36" s="31" t="inlineStr">
        <is>
          <t>Collisions</t>
        </is>
      </c>
      <c r="C36" s="31" t="n"/>
      <c r="D36" s="31" t="inlineStr">
        <is>
          <t>Pr_P1_4_3</t>
        </is>
      </c>
      <c r="E36" s="31">
        <f>IF(D36="","",IFERROR(TRIM(INDEX(Ref_pressions_V2!$B$2:$B$49,MATCH(D36,Ref_pressions_V2!$A$2:$A$49,0))),"Code inconnu"))</f>
        <v/>
      </c>
      <c r="F36" s="24" t="inlineStr">
        <is>
          <t>À confirmer</t>
        </is>
      </c>
      <c r="G36" s="31" t="inlineStr">
        <is>
          <t>Même code V2 que Pr_B6_2 : la V2 ne distingue pas captures accessoires et collisions.</t>
        </is>
      </c>
      <c r="H36" s="24" t="n"/>
      <c r="I36" s="24" t="n"/>
      <c r="J36" s="24" t="n"/>
      <c r="K36" s="31">
        <f>IF(J36="","",IFERROR(TRIM(INDEX(Ref_pressions_V2!$B$2:$B$49,MATCH(J36,Ref_pressions_V2!$A$2:$A$49,0))),"Code inconnu"))</f>
        <v/>
      </c>
      <c r="L36" s="31">
        <f>IF(J36="","",IFERROR(INDEX(Ref_pressions_V2!$E$2:$E$49,MATCH(J36,Ref_pressions_V2!$A$2:$A$49,0)),""))</f>
        <v/>
      </c>
      <c r="M36" s="24" t="n"/>
    </row>
  </sheetData>
  <autoFilter ref="A2:M36"/>
  <mergeCells count="2">
    <mergeCell ref="H1:M1"/>
    <mergeCell ref="A1:G1"/>
  </mergeCells>
  <dataValidations count="3">
    <dataValidation sqref="J3:J36" showDropDown="0" showInputMessage="0" showErrorMessage="1" allowBlank="1" errorTitle="Code inconnu" error="Choisir un code du référentiel V2." type="list" errorStyle="stop" operator="between">
      <formula1>Ref_pressions_V2!$A$2:$A$49</formula1>
      <formula2>0</formula2>
    </dataValidation>
    <dataValidation sqref="H3:H36" showDropDown="0" showInputMessage="0" showErrorMessage="0" allowBlank="1" type="list" errorStyle="stop" operator="between">
      <formula1>"Oui,Non"</formula1>
      <formula2>0</formula2>
    </dataValidation>
    <dataValidation sqref="I3:I36" showDropDown="0" showInputMessage="0" showErrorMessage="0" allowBlank="1" type="list" errorStyle="stop" operator="between">
      <formula1>"Validé,Modifié,Sans équivalent,À exclure"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N1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30" customWidth="1" style="17" min="1" max="1"/>
    <col width="13" customWidth="1" style="17" min="2" max="2"/>
    <col width="11" customWidth="1" style="17" min="3" max="3"/>
    <col width="34" customWidth="1" style="17" min="4" max="4"/>
    <col width="11" customWidth="1" style="17" min="5" max="5"/>
    <col width="12" customWidth="1" style="17" min="6" max="6"/>
    <col width="40" customWidth="1" style="17" min="7" max="7"/>
    <col width="14" customWidth="1" style="17" min="8" max="8"/>
    <col width="42" customWidth="1" style="17" min="9" max="9"/>
    <col width="15" customWidth="1" style="17" min="10" max="10"/>
    <col width="16" customWidth="1" style="17" min="11" max="11"/>
    <col width="40" customWidth="1" style="17" min="12" max="12"/>
    <col width="24" customWidth="1" style="17" min="13" max="13"/>
    <col width="40" customWidth="1" style="17" min="14" max="14"/>
  </cols>
  <sheetData>
    <row r="1" ht="15" customHeight="1" s="18">
      <c r="A1" s="27" t="inlineStr">
        <is>
          <t>Proposition (ne pas modifier)</t>
        </is>
      </c>
      <c r="J1" s="28" t="inlineStr">
        <is>
          <t>À remplir</t>
        </is>
      </c>
    </row>
    <row r="2" ht="42" customHeight="1" s="18">
      <c r="A2" s="29" t="inlineStr">
        <is>
          <t>Couche (fichier :: couche)</t>
        </is>
      </c>
      <c r="B2" s="29" t="inlineStr">
        <is>
          <t>Colonne d'intensité</t>
        </is>
      </c>
      <c r="C2" s="29" t="inlineStr">
        <is>
          <t>Code officiel</t>
        </is>
      </c>
      <c r="D2" s="29" t="inlineStr">
        <is>
          <t>Libellé officiel</t>
        </is>
      </c>
      <c r="E2" s="29" t="inlineStr">
        <is>
          <t>Utilisée dans l'étude V1</t>
        </is>
      </c>
      <c r="F2" s="29" t="inlineStr">
        <is>
          <t>Code V2 proposé</t>
        </is>
      </c>
      <c r="G2" s="29" t="inlineStr">
        <is>
          <t>Libellé V2 proposé</t>
        </is>
      </c>
      <c r="H2" s="29" t="inlineStr">
        <is>
          <t>Statut de la proposition</t>
        </is>
      </c>
      <c r="I2" s="29" t="inlineStr">
        <is>
          <t>Remarque</t>
        </is>
      </c>
      <c r="J2" s="30" t="inlineStr">
        <is>
          <t>Décision</t>
        </is>
      </c>
      <c r="K2" s="30" t="inlineStr">
        <is>
          <t>Code V2 retenu (si modifié)</t>
        </is>
      </c>
      <c r="L2" s="30" t="inlineStr">
        <is>
          <t>Libellé V2 retenu</t>
        </is>
      </c>
      <c r="M2" s="30" t="inlineStr">
        <is>
          <t>Traitement si couche multi-activités</t>
        </is>
      </c>
      <c r="N2" s="30" t="inlineStr">
        <is>
          <t>Commentaire (clé de répartition, etc.)</t>
        </is>
      </c>
    </row>
    <row r="3" ht="23.85" customHeight="1" s="18">
      <c r="A3" s="31" t="n"/>
      <c r="B3" s="31" t="n"/>
      <c r="C3" s="31" t="n"/>
      <c r="D3" s="31" t="n"/>
      <c r="E3" s="31" t="n"/>
      <c r="F3" s="31" t="n"/>
      <c r="G3" s="31">
        <f>IF(F3="","",IFERROR(TRIM(INDEX(Ref_activites_V2!$B$2:$B$131,MATCH(F3,Ref_activites_V2!$A$2:$A$131,0))),"Code inconnu"))</f>
        <v/>
      </c>
      <c r="H3" s="32" t="n"/>
      <c r="I3" s="31" t="n"/>
      <c r="J3" s="24" t="n"/>
      <c r="K3" s="24" t="n"/>
      <c r="L3" s="31">
        <f>IF(K3="","",IFERROR(TRIM(INDEX(Ref_activites_V2!$B$2:$B$131,MATCH(K3,Ref_activites_V2!$A$2:$A$131,0))),"Code inconnu"))</f>
        <v/>
      </c>
      <c r="M3" s="24" t="n"/>
      <c r="N3" s="24" t="n"/>
    </row>
    <row r="4" ht="23.85" customHeight="1" s="18">
      <c r="A4" s="31" t="n"/>
      <c r="B4" s="31" t="n"/>
      <c r="C4" s="31" t="n"/>
      <c r="D4" s="31" t="n"/>
      <c r="E4" s="31" t="n"/>
      <c r="F4" s="31" t="n"/>
      <c r="G4" s="31">
        <f>IF(F4="","",IFERROR(TRIM(INDEX(Ref_activites_V2!$B$2:$B$131,MATCH(F4,Ref_activites_V2!$A$2:$A$131,0))),"Code inconnu"))</f>
        <v/>
      </c>
      <c r="H4" s="32" t="n"/>
      <c r="I4" s="31" t="n"/>
      <c r="J4" s="24" t="n"/>
      <c r="K4" s="24" t="n"/>
      <c r="L4" s="31">
        <f>IF(K4="","",IFERROR(TRIM(INDEX(Ref_activites_V2!$B$2:$B$131,MATCH(K4,Ref_activites_V2!$A$2:$A$131,0))),"Code inconnu"))</f>
        <v/>
      </c>
      <c r="M4" s="24" t="n"/>
      <c r="N4" s="24" t="n"/>
    </row>
    <row r="5" ht="23.85" customHeight="1" s="18">
      <c r="A5" s="31" t="n"/>
      <c r="B5" s="31" t="n"/>
      <c r="C5" s="31" t="n"/>
      <c r="D5" s="31" t="n"/>
      <c r="E5" s="31" t="n"/>
      <c r="F5" s="31" t="n"/>
      <c r="G5" s="31">
        <f>IF(F5="","",IFERROR(TRIM(INDEX(Ref_activites_V2!$B$2:$B$131,MATCH(F5,Ref_activites_V2!$A$2:$A$131,0))),"Code inconnu"))</f>
        <v/>
      </c>
      <c r="H5" s="32" t="n"/>
      <c r="I5" s="31" t="n"/>
      <c r="J5" s="24" t="n"/>
      <c r="K5" s="24" t="n"/>
      <c r="L5" s="31">
        <f>IF(K5="","",IFERROR(TRIM(INDEX(Ref_activites_V2!$B$2:$B$131,MATCH(K5,Ref_activites_V2!$A$2:$A$131,0))),"Code inconnu"))</f>
        <v/>
      </c>
      <c r="M5" s="24" t="n"/>
      <c r="N5" s="24" t="n"/>
    </row>
    <row r="6" ht="23.85" customHeight="1" s="18">
      <c r="A6" s="31" t="n"/>
      <c r="B6" s="31" t="n"/>
      <c r="C6" s="31" t="n"/>
      <c r="D6" s="31" t="n"/>
      <c r="E6" s="31" t="n"/>
      <c r="F6" s="31" t="n"/>
      <c r="G6" s="31">
        <f>IF(F6="","",IFERROR(TRIM(INDEX(Ref_activites_V2!$B$2:$B$131,MATCH(F6,Ref_activites_V2!$A$2:$A$131,0))),"Code inconnu"))</f>
        <v/>
      </c>
      <c r="H6" s="32" t="n"/>
      <c r="I6" s="31" t="n"/>
      <c r="J6" s="24" t="n"/>
      <c r="K6" s="24" t="n"/>
      <c r="L6" s="31">
        <f>IF(K6="","",IFERROR(TRIM(INDEX(Ref_activites_V2!$B$2:$B$131,MATCH(K6,Ref_activites_V2!$A$2:$A$131,0))),"Code inconnu"))</f>
        <v/>
      </c>
      <c r="M6" s="24" t="n"/>
      <c r="N6" s="24" t="n"/>
    </row>
    <row r="7" ht="23.85" customHeight="1" s="18">
      <c r="A7" s="31" t="n"/>
      <c r="B7" s="31" t="n"/>
      <c r="C7" s="31" t="n"/>
      <c r="D7" s="31" t="n"/>
      <c r="E7" s="31" t="n"/>
      <c r="F7" s="31" t="n"/>
      <c r="G7" s="31">
        <f>IF(F7="","",IFERROR(TRIM(INDEX(Ref_activites_V2!$B$2:$B$131,MATCH(F7,Ref_activites_V2!$A$2:$A$131,0))),"Code inconnu"))</f>
        <v/>
      </c>
      <c r="H7" s="32" t="n"/>
      <c r="I7" s="31" t="n"/>
      <c r="J7" s="24" t="n"/>
      <c r="K7" s="24" t="n"/>
      <c r="L7" s="31">
        <f>IF(K7="","",IFERROR(TRIM(INDEX(Ref_activites_V2!$B$2:$B$131,MATCH(K7,Ref_activites_V2!$A$2:$A$131,0))),"Code inconnu"))</f>
        <v/>
      </c>
      <c r="M7" s="24" t="n"/>
      <c r="N7" s="24" t="n"/>
    </row>
    <row r="8" ht="23.85" customHeight="1" s="18">
      <c r="A8" s="31" t="n"/>
      <c r="B8" s="31" t="n"/>
      <c r="C8" s="31" t="n"/>
      <c r="D8" s="31" t="n"/>
      <c r="E8" s="31" t="n"/>
      <c r="F8" s="31" t="n"/>
      <c r="G8" s="31">
        <f>IF(F8="","",IFERROR(TRIM(INDEX(Ref_activites_V2!$B$2:$B$131,MATCH(F8,Ref_activites_V2!$A$2:$A$131,0))),"Code inconnu"))</f>
        <v/>
      </c>
      <c r="H8" s="32" t="n"/>
      <c r="I8" s="31" t="n"/>
      <c r="J8" s="24" t="n"/>
      <c r="K8" s="24" t="n"/>
      <c r="L8" s="31">
        <f>IF(K8="","",IFERROR(TRIM(INDEX(Ref_activites_V2!$B$2:$B$131,MATCH(K8,Ref_activites_V2!$A$2:$A$131,0))),"Code inconnu"))</f>
        <v/>
      </c>
      <c r="M8" s="24" t="n"/>
      <c r="N8" s="24" t="n"/>
    </row>
    <row r="9" ht="23.85" customHeight="1" s="18">
      <c r="A9" s="31" t="n"/>
      <c r="B9" s="31" t="n"/>
      <c r="C9" s="31" t="n"/>
      <c r="D9" s="31" t="n"/>
      <c r="E9" s="31" t="n"/>
      <c r="F9" s="31" t="n"/>
      <c r="G9" s="31">
        <f>IF(F9="","",IFERROR(TRIM(INDEX(Ref_activites_V2!$B$2:$B$131,MATCH(F9,Ref_activites_V2!$A$2:$A$131,0))),"Code inconnu"))</f>
        <v/>
      </c>
      <c r="H9" s="32" t="n"/>
      <c r="I9" s="31" t="n"/>
      <c r="J9" s="24" t="n"/>
      <c r="K9" s="24" t="n"/>
      <c r="L9" s="31">
        <f>IF(K9="","",IFERROR(TRIM(INDEX(Ref_activites_V2!$B$2:$B$131,MATCH(K9,Ref_activites_V2!$A$2:$A$131,0))),"Code inconnu"))</f>
        <v/>
      </c>
      <c r="M9" s="24" t="n"/>
      <c r="N9" s="24" t="n"/>
    </row>
    <row r="10" ht="23.85" customHeight="1" s="18">
      <c r="A10" s="31" t="n"/>
      <c r="B10" s="31" t="n"/>
      <c r="C10" s="31" t="n"/>
      <c r="D10" s="31" t="n"/>
      <c r="E10" s="31" t="n"/>
      <c r="F10" s="31" t="n"/>
      <c r="G10" s="31">
        <f>IF(F10="","",IFERROR(TRIM(INDEX(Ref_activites_V2!$B$2:$B$131,MATCH(F10,Ref_activites_V2!$A$2:$A$131,0))),"Code inconnu"))</f>
        <v/>
      </c>
      <c r="H10" s="32" t="n"/>
      <c r="I10" s="31" t="n"/>
      <c r="J10" s="24" t="n"/>
      <c r="K10" s="24" t="n"/>
      <c r="L10" s="31">
        <f>IF(K10="","",IFERROR(TRIM(INDEX(Ref_activites_V2!$B$2:$B$131,MATCH(K10,Ref_activites_V2!$A$2:$A$131,0))),"Code inconnu"))</f>
        <v/>
      </c>
      <c r="M10" s="24" t="n"/>
      <c r="N10" s="24" t="n"/>
    </row>
    <row r="11" ht="23.85" customHeight="1" s="18">
      <c r="A11" s="31" t="n"/>
      <c r="B11" s="31" t="n"/>
      <c r="C11" s="31" t="n"/>
      <c r="D11" s="31" t="n"/>
      <c r="E11" s="31" t="n"/>
      <c r="F11" s="31" t="n"/>
      <c r="G11" s="31">
        <f>IF(F11="","",IFERROR(TRIM(INDEX(Ref_activites_V2!$B$2:$B$131,MATCH(F11,Ref_activites_V2!$A$2:$A$131,0))),"Code inconnu"))</f>
        <v/>
      </c>
      <c r="H11" s="32" t="n"/>
      <c r="I11" s="31" t="n"/>
      <c r="J11" s="24" t="n"/>
      <c r="K11" s="24" t="n"/>
      <c r="L11" s="31">
        <f>IF(K11="","",IFERROR(TRIM(INDEX(Ref_activites_V2!$B$2:$B$131,MATCH(K11,Ref_activites_V2!$A$2:$A$131,0))),"Code inconnu"))</f>
        <v/>
      </c>
      <c r="M11" s="24" t="n"/>
      <c r="N11" s="24" t="n"/>
    </row>
    <row r="12" ht="23.85" customHeight="1" s="18">
      <c r="A12" s="31" t="n"/>
      <c r="B12" s="31" t="n"/>
      <c r="C12" s="31" t="n"/>
      <c r="D12" s="31" t="n"/>
      <c r="E12" s="31" t="n"/>
      <c r="F12" s="31" t="n"/>
      <c r="G12" s="31">
        <f>IF(F12="","",IFERROR(TRIM(INDEX(Ref_activites_V2!$B$2:$B$131,MATCH(F12,Ref_activites_V2!$A$2:$A$131,0))),"Code inconnu"))</f>
        <v/>
      </c>
      <c r="H12" s="32" t="n"/>
      <c r="I12" s="31" t="n"/>
      <c r="J12" s="24" t="n"/>
      <c r="K12" s="24" t="n"/>
      <c r="L12" s="31">
        <f>IF(K12="","",IFERROR(TRIM(INDEX(Ref_activites_V2!$B$2:$B$131,MATCH(K12,Ref_activites_V2!$A$2:$A$131,0))),"Code inconnu"))</f>
        <v/>
      </c>
      <c r="M12" s="24" t="n"/>
      <c r="N12" s="24" t="n"/>
    </row>
    <row r="13" ht="23.85" customHeight="1" s="18">
      <c r="A13" s="31" t="n"/>
      <c r="B13" s="31" t="n"/>
      <c r="C13" s="31" t="n"/>
      <c r="D13" s="31" t="n"/>
      <c r="E13" s="31" t="n"/>
      <c r="F13" s="31" t="n"/>
      <c r="G13" s="31">
        <f>IF(F13="","",IFERROR(TRIM(INDEX(Ref_activites_V2!$B$2:$B$131,MATCH(F13,Ref_activites_V2!$A$2:$A$131,0))),"Code inconnu"))</f>
        <v/>
      </c>
      <c r="H13" s="32" t="n"/>
      <c r="I13" s="31" t="n"/>
      <c r="J13" s="24" t="n"/>
      <c r="K13" s="24" t="n"/>
      <c r="L13" s="31">
        <f>IF(K13="","",IFERROR(TRIM(INDEX(Ref_activites_V2!$B$2:$B$131,MATCH(K13,Ref_activites_V2!$A$2:$A$131,0))),"Code inconnu"))</f>
        <v/>
      </c>
      <c r="M13" s="24" t="n"/>
      <c r="N13" s="24" t="n"/>
    </row>
    <row r="14" ht="23.85" customHeight="1" s="18">
      <c r="A14" s="31" t="n"/>
      <c r="B14" s="31" t="n"/>
      <c r="C14" s="31" t="n"/>
      <c r="D14" s="31" t="n"/>
      <c r="E14" s="31" t="n"/>
      <c r="F14" s="31" t="n"/>
      <c r="G14" s="31">
        <f>IF(F14="","",IFERROR(TRIM(INDEX(Ref_activites_V2!$B$2:$B$131,MATCH(F14,Ref_activites_V2!$A$2:$A$131,0))),"Code inconnu"))</f>
        <v/>
      </c>
      <c r="H14" s="32" t="n"/>
      <c r="I14" s="31" t="n"/>
      <c r="J14" s="24" t="n"/>
      <c r="K14" s="24" t="n"/>
      <c r="L14" s="31">
        <f>IF(K14="","",IFERROR(TRIM(INDEX(Ref_activites_V2!$B$2:$B$131,MATCH(K14,Ref_activites_V2!$A$2:$A$131,0))),"Code inconnu"))</f>
        <v/>
      </c>
      <c r="M14" s="24" t="n"/>
      <c r="N14" s="24" t="n"/>
    </row>
    <row r="15" ht="23.85" customHeight="1" s="18">
      <c r="A15" s="31" t="n"/>
      <c r="B15" s="31" t="n"/>
      <c r="C15" s="31" t="n"/>
      <c r="D15" s="31" t="n"/>
      <c r="E15" s="31" t="n"/>
      <c r="F15" s="31" t="n"/>
      <c r="G15" s="31">
        <f>IF(F15="","",IFERROR(TRIM(INDEX(Ref_activites_V2!$B$2:$B$131,MATCH(F15,Ref_activites_V2!$A$2:$A$131,0))),"Code inconnu"))</f>
        <v/>
      </c>
      <c r="H15" s="32" t="n"/>
      <c r="I15" s="31" t="n"/>
      <c r="J15" s="24" t="n"/>
      <c r="K15" s="24" t="n"/>
      <c r="L15" s="31">
        <f>IF(K15="","",IFERROR(TRIM(INDEX(Ref_activites_V2!$B$2:$B$131,MATCH(K15,Ref_activites_V2!$A$2:$A$131,0))),"Code inconnu"))</f>
        <v/>
      </c>
      <c r="M15" s="24" t="n"/>
      <c r="N15" s="24" t="n"/>
    </row>
    <row r="16" ht="23.85" customHeight="1" s="18">
      <c r="A16" s="31" t="n"/>
      <c r="B16" s="31" t="n"/>
      <c r="C16" s="31" t="n"/>
      <c r="D16" s="31" t="n"/>
      <c r="E16" s="31" t="n"/>
      <c r="F16" s="31" t="n"/>
      <c r="G16" s="31">
        <f>IF(F16="","",IFERROR(TRIM(INDEX(Ref_activites_V2!$B$2:$B$131,MATCH(F16,Ref_activites_V2!$A$2:$A$131,0))),"Code inconnu"))</f>
        <v/>
      </c>
      <c r="H16" s="32" t="n"/>
      <c r="I16" s="31" t="n"/>
      <c r="J16" s="24" t="n"/>
      <c r="K16" s="24" t="n"/>
      <c r="L16" s="31">
        <f>IF(K16="","",IFERROR(TRIM(INDEX(Ref_activites_V2!$B$2:$B$131,MATCH(K16,Ref_activites_V2!$A$2:$A$131,0))),"Code inconnu"))</f>
        <v/>
      </c>
      <c r="M16" s="24" t="n"/>
      <c r="N16" s="24" t="n"/>
    </row>
    <row r="17" ht="23.85" customHeight="1" s="18">
      <c r="A17" s="31" t="n"/>
      <c r="B17" s="31" t="n"/>
      <c r="C17" s="31" t="n"/>
      <c r="D17" s="31" t="n"/>
      <c r="E17" s="31" t="n"/>
      <c r="F17" s="31" t="n"/>
      <c r="G17" s="31">
        <f>IF(F17="","",IFERROR(TRIM(INDEX(Ref_activites_V2!$B$2:$B$131,MATCH(F17,Ref_activites_V2!$A$2:$A$131,0))),"Code inconnu"))</f>
        <v/>
      </c>
      <c r="H17" s="32" t="n"/>
      <c r="I17" s="31" t="n"/>
      <c r="J17" s="24" t="n"/>
      <c r="K17" s="24" t="n"/>
      <c r="L17" s="31">
        <f>IF(K17="","",IFERROR(TRIM(INDEX(Ref_activites_V2!$B$2:$B$131,MATCH(K17,Ref_activites_V2!$A$2:$A$131,0))),"Code inconnu"))</f>
        <v/>
      </c>
      <c r="M17" s="24" t="n"/>
      <c r="N17" s="24" t="n"/>
    </row>
    <row r="18" ht="23.85" customHeight="1" s="18">
      <c r="A18" s="31" t="n"/>
      <c r="B18" s="31" t="n"/>
      <c r="C18" s="31" t="n"/>
      <c r="D18" s="31" t="n"/>
      <c r="E18" s="31" t="n"/>
      <c r="F18" s="31" t="n"/>
      <c r="G18" s="31">
        <f>IF(F18="","",IFERROR(TRIM(INDEX(Ref_activites_V2!$B$2:$B$131,MATCH(F18,Ref_activites_V2!$A$2:$A$131,0))),"Code inconnu"))</f>
        <v/>
      </c>
      <c r="H18" s="32" t="n"/>
      <c r="I18" s="31" t="n"/>
      <c r="J18" s="24" t="n"/>
      <c r="K18" s="24" t="n"/>
      <c r="L18" s="31">
        <f>IF(K18="","",IFERROR(TRIM(INDEX(Ref_activites_V2!$B$2:$B$131,MATCH(K18,Ref_activites_V2!$A$2:$A$131,0))),"Code inconnu"))</f>
        <v/>
      </c>
      <c r="M18" s="24" t="n"/>
      <c r="N18" s="24" t="n"/>
    </row>
    <row r="19" ht="23.85" customHeight="1" s="18">
      <c r="A19" s="31" t="n"/>
      <c r="B19" s="31" t="n"/>
      <c r="C19" s="31" t="n"/>
      <c r="D19" s="31" t="n"/>
      <c r="E19" s="31" t="n"/>
      <c r="F19" s="31" t="n"/>
      <c r="G19" s="31">
        <f>IF(F19="","",IFERROR(TRIM(INDEX(Ref_activites_V2!$B$2:$B$131,MATCH(F19,Ref_activites_V2!$A$2:$A$131,0))),"Code inconnu"))</f>
        <v/>
      </c>
      <c r="H19" s="32" t="n"/>
      <c r="I19" s="31" t="n"/>
      <c r="J19" s="24" t="n"/>
      <c r="K19" s="24" t="n"/>
      <c r="L19" s="31">
        <f>IF(K19="","",IFERROR(TRIM(INDEX(Ref_activites_V2!$B$2:$B$131,MATCH(K19,Ref_activites_V2!$A$2:$A$131,0))),"Code inconnu"))</f>
        <v/>
      </c>
      <c r="M19" s="24" t="n"/>
      <c r="N19" s="24" t="n"/>
    </row>
    <row r="20" ht="23.85" customHeight="1" s="18">
      <c r="A20" s="31" t="n"/>
      <c r="B20" s="31" t="n"/>
      <c r="C20" s="31" t="n"/>
      <c r="D20" s="31" t="n"/>
      <c r="E20" s="31" t="n"/>
      <c r="F20" s="31" t="n"/>
      <c r="G20" s="31">
        <f>IF(F20="","",IFERROR(TRIM(INDEX(Ref_activites_V2!$B$2:$B$131,MATCH(F20,Ref_activites_V2!$A$2:$A$131,0))),"Code inconnu"))</f>
        <v/>
      </c>
      <c r="H20" s="32" t="n"/>
      <c r="I20" s="31" t="n"/>
      <c r="J20" s="24" t="n"/>
      <c r="K20" s="24" t="n"/>
      <c r="L20" s="31">
        <f>IF(K20="","",IFERROR(TRIM(INDEX(Ref_activites_V2!$B$2:$B$131,MATCH(K20,Ref_activites_V2!$A$2:$A$131,0))),"Code inconnu"))</f>
        <v/>
      </c>
      <c r="M20" s="24" t="n"/>
      <c r="N20" s="24" t="n"/>
    </row>
    <row r="21" ht="23.85" customHeight="1" s="18">
      <c r="A21" s="31" t="n"/>
      <c r="B21" s="31" t="n"/>
      <c r="C21" s="31" t="n"/>
      <c r="D21" s="31" t="n"/>
      <c r="E21" s="31" t="n"/>
      <c r="F21" s="31" t="n"/>
      <c r="G21" s="31">
        <f>IF(F21="","",IFERROR(TRIM(INDEX(Ref_activites_V2!$B$2:$B$131,MATCH(F21,Ref_activites_V2!$A$2:$A$131,0))),"Code inconnu"))</f>
        <v/>
      </c>
      <c r="H21" s="32" t="n"/>
      <c r="I21" s="31" t="n"/>
      <c r="J21" s="24" t="n"/>
      <c r="K21" s="24" t="n"/>
      <c r="L21" s="31">
        <f>IF(K21="","",IFERROR(TRIM(INDEX(Ref_activites_V2!$B$2:$B$131,MATCH(K21,Ref_activites_V2!$A$2:$A$131,0))),"Code inconnu"))</f>
        <v/>
      </c>
      <c r="M21" s="24" t="n"/>
      <c r="N21" s="24" t="n"/>
    </row>
    <row r="22" ht="23.85" customHeight="1" s="18">
      <c r="A22" s="31" t="n"/>
      <c r="B22" s="31" t="n"/>
      <c r="C22" s="31" t="n"/>
      <c r="D22" s="31" t="n"/>
      <c r="E22" s="31" t="n"/>
      <c r="F22" s="31" t="n"/>
      <c r="G22" s="31">
        <f>IF(F22="","",IFERROR(TRIM(INDEX(Ref_activites_V2!$B$2:$B$131,MATCH(F22,Ref_activites_V2!$A$2:$A$131,0))),"Code inconnu"))</f>
        <v/>
      </c>
      <c r="H22" s="32" t="n"/>
      <c r="I22" s="31" t="n"/>
      <c r="J22" s="24" t="n"/>
      <c r="K22" s="24" t="n"/>
      <c r="L22" s="31">
        <f>IF(K22="","",IFERROR(TRIM(INDEX(Ref_activites_V2!$B$2:$B$131,MATCH(K22,Ref_activites_V2!$A$2:$A$131,0))),"Code inconnu"))</f>
        <v/>
      </c>
      <c r="M22" s="24" t="n"/>
      <c r="N22" s="24" t="n"/>
    </row>
    <row r="23" ht="23.85" customHeight="1" s="18">
      <c r="A23" s="31" t="n"/>
      <c r="B23" s="31" t="n"/>
      <c r="C23" s="31" t="n"/>
      <c r="D23" s="31" t="n"/>
      <c r="E23" s="31" t="n"/>
      <c r="F23" s="31" t="n"/>
      <c r="G23" s="31">
        <f>IF(F23="","",IFERROR(TRIM(INDEX(Ref_activites_V2!$B$2:$B$131,MATCH(F23,Ref_activites_V2!$A$2:$A$131,0))),"Code inconnu"))</f>
        <v/>
      </c>
      <c r="H23" s="32" t="n"/>
      <c r="I23" s="31" t="n"/>
      <c r="J23" s="24" t="n"/>
      <c r="K23" s="24" t="n"/>
      <c r="L23" s="31">
        <f>IF(K23="","",IFERROR(TRIM(INDEX(Ref_activites_V2!$B$2:$B$131,MATCH(K23,Ref_activites_V2!$A$2:$A$131,0))),"Code inconnu"))</f>
        <v/>
      </c>
      <c r="M23" s="24" t="n"/>
      <c r="N23" s="24" t="n"/>
    </row>
    <row r="24" ht="23.85" customHeight="1" s="18">
      <c r="A24" s="31" t="n"/>
      <c r="B24" s="31" t="n"/>
      <c r="C24" s="31" t="n"/>
      <c r="D24" s="31" t="n"/>
      <c r="E24" s="31" t="n"/>
      <c r="F24" s="31" t="n"/>
      <c r="G24" s="31">
        <f>IF(F24="","",IFERROR(TRIM(INDEX(Ref_activites_V2!$B$2:$B$131,MATCH(F24,Ref_activites_V2!$A$2:$A$131,0))),"Code inconnu"))</f>
        <v/>
      </c>
      <c r="H24" s="32" t="n"/>
      <c r="I24" s="31" t="n"/>
      <c r="J24" s="24" t="n"/>
      <c r="K24" s="24" t="n"/>
      <c r="L24" s="31">
        <f>IF(K24="","",IFERROR(TRIM(INDEX(Ref_activites_V2!$B$2:$B$131,MATCH(K24,Ref_activites_V2!$A$2:$A$131,0))),"Code inconnu"))</f>
        <v/>
      </c>
      <c r="M24" s="24" t="n"/>
      <c r="N24" s="24" t="n"/>
    </row>
    <row r="25" ht="23.85" customHeight="1" s="18">
      <c r="A25" s="31" t="n"/>
      <c r="B25" s="31" t="n"/>
      <c r="C25" s="31" t="n"/>
      <c r="D25" s="31" t="n"/>
      <c r="E25" s="31" t="n"/>
      <c r="F25" s="31" t="n"/>
      <c r="G25" s="31">
        <f>IF(F25="","",IFERROR(TRIM(INDEX(Ref_activites_V2!$B$2:$B$131,MATCH(F25,Ref_activites_V2!$A$2:$A$131,0))),"Code inconnu"))</f>
        <v/>
      </c>
      <c r="H25" s="32" t="n"/>
      <c r="I25" s="31" t="n"/>
      <c r="J25" s="24" t="n"/>
      <c r="K25" s="24" t="n"/>
      <c r="L25" s="31">
        <f>IF(K25="","",IFERROR(TRIM(INDEX(Ref_activites_V2!$B$2:$B$131,MATCH(K25,Ref_activites_V2!$A$2:$A$131,0))),"Code inconnu"))</f>
        <v/>
      </c>
      <c r="M25" s="24" t="n"/>
      <c r="N25" s="24" t="n"/>
    </row>
    <row r="26" ht="23.85" customHeight="1" s="18">
      <c r="A26" s="31" t="n"/>
      <c r="B26" s="31" t="n"/>
      <c r="C26" s="31" t="n"/>
      <c r="D26" s="31" t="n"/>
      <c r="E26" s="31" t="n"/>
      <c r="F26" s="31" t="n"/>
      <c r="G26" s="31">
        <f>IF(F26="","",IFERROR(TRIM(INDEX(Ref_activites_V2!$B$2:$B$131,MATCH(F26,Ref_activites_V2!$A$2:$A$131,0))),"Code inconnu"))</f>
        <v/>
      </c>
      <c r="H26" s="32" t="n"/>
      <c r="I26" s="31" t="n"/>
      <c r="J26" s="24" t="n"/>
      <c r="K26" s="24" t="n"/>
      <c r="L26" s="31">
        <f>IF(K26="","",IFERROR(TRIM(INDEX(Ref_activites_V2!$B$2:$B$131,MATCH(K26,Ref_activites_V2!$A$2:$A$131,0))),"Code inconnu"))</f>
        <v/>
      </c>
      <c r="M26" s="24" t="n"/>
      <c r="N26" s="24" t="n"/>
    </row>
    <row r="27" ht="23.85" customHeight="1" s="18">
      <c r="A27" s="31" t="n"/>
      <c r="B27" s="31" t="n"/>
      <c r="C27" s="31" t="n"/>
      <c r="D27" s="31" t="n"/>
      <c r="E27" s="31" t="n"/>
      <c r="F27" s="31" t="n"/>
      <c r="G27" s="31">
        <f>IF(F27="","",IFERROR(TRIM(INDEX(Ref_activites_V2!$B$2:$B$131,MATCH(F27,Ref_activites_V2!$A$2:$A$131,0))),"Code inconnu"))</f>
        <v/>
      </c>
      <c r="H27" s="32" t="n"/>
      <c r="I27" s="31" t="n"/>
      <c r="J27" s="24" t="n"/>
      <c r="K27" s="24" t="n"/>
      <c r="L27" s="31">
        <f>IF(K27="","",IFERROR(TRIM(INDEX(Ref_activites_V2!$B$2:$B$131,MATCH(K27,Ref_activites_V2!$A$2:$A$131,0))),"Code inconnu"))</f>
        <v/>
      </c>
      <c r="M27" s="24" t="n"/>
      <c r="N27" s="24" t="n"/>
    </row>
    <row r="28" ht="23.85" customHeight="1" s="18">
      <c r="A28" s="31" t="n"/>
      <c r="B28" s="31" t="n"/>
      <c r="C28" s="31" t="n"/>
      <c r="D28" s="31" t="n"/>
      <c r="E28" s="31" t="n"/>
      <c r="F28" s="31" t="n"/>
      <c r="G28" s="31">
        <f>IF(F28="","",IFERROR(TRIM(INDEX(Ref_activites_V2!$B$2:$B$131,MATCH(F28,Ref_activites_V2!$A$2:$A$131,0))),"Code inconnu"))</f>
        <v/>
      </c>
      <c r="H28" s="32" t="n"/>
      <c r="I28" s="31" t="n"/>
      <c r="J28" s="24" t="n"/>
      <c r="K28" s="24" t="n"/>
      <c r="L28" s="31">
        <f>IF(K28="","",IFERROR(TRIM(INDEX(Ref_activites_V2!$B$2:$B$131,MATCH(K28,Ref_activites_V2!$A$2:$A$131,0))),"Code inconnu"))</f>
        <v/>
      </c>
      <c r="M28" s="24" t="n"/>
      <c r="N28" s="24" t="n"/>
    </row>
    <row r="29" ht="23.85" customHeight="1" s="18">
      <c r="A29" s="31" t="n"/>
      <c r="B29" s="31" t="n"/>
      <c r="C29" s="31" t="n"/>
      <c r="D29" s="31" t="n"/>
      <c r="E29" s="31" t="n"/>
      <c r="F29" s="31" t="n"/>
      <c r="G29" s="31">
        <f>IF(F29="","",IFERROR(TRIM(INDEX(Ref_activites_V2!$B$2:$B$131,MATCH(F29,Ref_activites_V2!$A$2:$A$131,0))),"Code inconnu"))</f>
        <v/>
      </c>
      <c r="H29" s="32" t="n"/>
      <c r="I29" s="31" t="n"/>
      <c r="J29" s="24" t="n"/>
      <c r="K29" s="24" t="n"/>
      <c r="L29" s="31">
        <f>IF(K29="","",IFERROR(TRIM(INDEX(Ref_activites_V2!$B$2:$B$131,MATCH(K29,Ref_activites_V2!$A$2:$A$131,0))),"Code inconnu"))</f>
        <v/>
      </c>
      <c r="M29" s="24" t="n"/>
      <c r="N29" s="24" t="n"/>
    </row>
    <row r="30" ht="23.85" customHeight="1" s="18">
      <c r="A30" s="31" t="n"/>
      <c r="B30" s="31" t="n"/>
      <c r="C30" s="31" t="n"/>
      <c r="D30" s="31" t="n"/>
      <c r="E30" s="31" t="n"/>
      <c r="F30" s="31" t="n"/>
      <c r="G30" s="31">
        <f>IF(F30="","",IFERROR(TRIM(INDEX(Ref_activites_V2!$B$2:$B$131,MATCH(F30,Ref_activites_V2!$A$2:$A$131,0))),"Code inconnu"))</f>
        <v/>
      </c>
      <c r="H30" s="32" t="n"/>
      <c r="I30" s="31" t="n"/>
      <c r="J30" s="24" t="n"/>
      <c r="K30" s="24" t="n"/>
      <c r="L30" s="31">
        <f>IF(K30="","",IFERROR(TRIM(INDEX(Ref_activites_V2!$B$2:$B$131,MATCH(K30,Ref_activites_V2!$A$2:$A$131,0))),"Code inconnu"))</f>
        <v/>
      </c>
      <c r="M30" s="24" t="n"/>
      <c r="N30" s="24" t="n"/>
    </row>
    <row r="31" ht="23.85" customHeight="1" s="18">
      <c r="A31" s="31" t="n"/>
      <c r="B31" s="31" t="n"/>
      <c r="C31" s="31" t="n"/>
      <c r="D31" s="31" t="n"/>
      <c r="E31" s="31" t="n"/>
      <c r="F31" s="31" t="n"/>
      <c r="G31" s="31">
        <f>IF(F31="","",IFERROR(TRIM(INDEX(Ref_activites_V2!$B$2:$B$131,MATCH(F31,Ref_activites_V2!$A$2:$A$131,0))),"Code inconnu"))</f>
        <v/>
      </c>
      <c r="H31" s="32" t="n"/>
      <c r="I31" s="31" t="n"/>
      <c r="J31" s="24" t="n"/>
      <c r="K31" s="24" t="n"/>
      <c r="L31" s="31">
        <f>IF(K31="","",IFERROR(TRIM(INDEX(Ref_activites_V2!$B$2:$B$131,MATCH(K31,Ref_activites_V2!$A$2:$A$131,0))),"Code inconnu"))</f>
        <v/>
      </c>
      <c r="M31" s="24" t="n"/>
      <c r="N31" s="24" t="n"/>
    </row>
    <row r="32" ht="23.85" customHeight="1" s="18">
      <c r="A32" s="31" t="n"/>
      <c r="B32" s="31" t="n"/>
      <c r="C32" s="31" t="n"/>
      <c r="D32" s="31" t="n"/>
      <c r="E32" s="31" t="n"/>
      <c r="F32" s="31" t="n"/>
      <c r="G32" s="31">
        <f>IF(F32="","",IFERROR(TRIM(INDEX(Ref_activites_V2!$B$2:$B$131,MATCH(F32,Ref_activites_V2!$A$2:$A$131,0))),"Code inconnu"))</f>
        <v/>
      </c>
      <c r="H32" s="32" t="n"/>
      <c r="I32" s="31" t="n"/>
      <c r="J32" s="24" t="n"/>
      <c r="K32" s="24" t="n"/>
      <c r="L32" s="31">
        <f>IF(K32="","",IFERROR(TRIM(INDEX(Ref_activites_V2!$B$2:$B$131,MATCH(K32,Ref_activites_V2!$A$2:$A$131,0))),"Code inconnu"))</f>
        <v/>
      </c>
      <c r="M32" s="24" t="n"/>
      <c r="N32" s="24" t="n"/>
    </row>
    <row r="33" ht="23.85" customHeight="1" s="18">
      <c r="A33" s="31" t="n"/>
      <c r="B33" s="31" t="n"/>
      <c r="C33" s="31" t="n"/>
      <c r="D33" s="31" t="n"/>
      <c r="E33" s="31" t="n"/>
      <c r="F33" s="31" t="n"/>
      <c r="G33" s="31">
        <f>IF(F33="","",IFERROR(TRIM(INDEX(Ref_activites_V2!$B$2:$B$131,MATCH(F33,Ref_activites_V2!$A$2:$A$131,0))),"Code inconnu"))</f>
        <v/>
      </c>
      <c r="H33" s="32" t="n"/>
      <c r="I33" s="31" t="n"/>
      <c r="J33" s="24" t="n"/>
      <c r="K33" s="24" t="n"/>
      <c r="L33" s="31">
        <f>IF(K33="","",IFERROR(TRIM(INDEX(Ref_activites_V2!$B$2:$B$131,MATCH(K33,Ref_activites_V2!$A$2:$A$131,0))),"Code inconnu"))</f>
        <v/>
      </c>
      <c r="M33" s="24" t="n"/>
      <c r="N33" s="24" t="n"/>
    </row>
    <row r="34" ht="23.85" customHeight="1" s="18">
      <c r="A34" s="31" t="n"/>
      <c r="B34" s="31" t="n"/>
      <c r="C34" s="31" t="n"/>
      <c r="D34" s="31" t="n"/>
      <c r="E34" s="31" t="n"/>
      <c r="F34" s="31" t="n"/>
      <c r="G34" s="31">
        <f>IF(F34="","",IFERROR(TRIM(INDEX(Ref_activites_V2!$B$2:$B$131,MATCH(F34,Ref_activites_V2!$A$2:$A$131,0))),"Code inconnu"))</f>
        <v/>
      </c>
      <c r="H34" s="32" t="n"/>
      <c r="I34" s="31" t="n"/>
      <c r="J34" s="24" t="n"/>
      <c r="K34" s="24" t="n"/>
      <c r="L34" s="31">
        <f>IF(K34="","",IFERROR(TRIM(INDEX(Ref_activites_V2!$B$2:$B$131,MATCH(K34,Ref_activites_V2!$A$2:$A$131,0))),"Code inconnu"))</f>
        <v/>
      </c>
      <c r="M34" s="24" t="n"/>
      <c r="N34" s="24" t="n"/>
    </row>
    <row r="35" ht="23.85" customHeight="1" s="18">
      <c r="A35" s="31" t="n"/>
      <c r="B35" s="31" t="n"/>
      <c r="C35" s="31" t="n"/>
      <c r="D35" s="31" t="n"/>
      <c r="E35" s="31" t="n"/>
      <c r="F35" s="31" t="n"/>
      <c r="G35" s="31">
        <f>IF(F35="","",IFERROR(TRIM(INDEX(Ref_activites_V2!$B$2:$B$131,MATCH(F35,Ref_activites_V2!$A$2:$A$131,0))),"Code inconnu"))</f>
        <v/>
      </c>
      <c r="H35" s="32" t="n"/>
      <c r="I35" s="31" t="n"/>
      <c r="J35" s="24" t="n"/>
      <c r="K35" s="24" t="n"/>
      <c r="L35" s="31">
        <f>IF(K35="","",IFERROR(TRIM(INDEX(Ref_activites_V2!$B$2:$B$131,MATCH(K35,Ref_activites_V2!$A$2:$A$131,0))),"Code inconnu"))</f>
        <v/>
      </c>
      <c r="M35" s="24" t="n"/>
      <c r="N35" s="24" t="n"/>
    </row>
    <row r="36" ht="23.85" customHeight="1" s="18">
      <c r="A36" s="31" t="n"/>
      <c r="B36" s="31" t="n"/>
      <c r="C36" s="31" t="n"/>
      <c r="D36" s="31" t="n"/>
      <c r="E36" s="31" t="n"/>
      <c r="F36" s="31" t="n"/>
      <c r="G36" s="31">
        <f>IF(F36="","",IFERROR(TRIM(INDEX(Ref_activites_V2!$B$2:$B$131,MATCH(F36,Ref_activites_V2!$A$2:$A$131,0))),"Code inconnu"))</f>
        <v/>
      </c>
      <c r="H36" s="32" t="n"/>
      <c r="I36" s="31" t="n"/>
      <c r="J36" s="24" t="n"/>
      <c r="K36" s="24" t="n"/>
      <c r="L36" s="31">
        <f>IF(K36="","",IFERROR(TRIM(INDEX(Ref_activites_V2!$B$2:$B$131,MATCH(K36,Ref_activites_V2!$A$2:$A$131,0))),"Code inconnu"))</f>
        <v/>
      </c>
      <c r="M36" s="24" t="n"/>
      <c r="N36" s="24" t="n"/>
    </row>
    <row r="37" ht="23.85" customHeight="1" s="18">
      <c r="A37" s="31" t="n"/>
      <c r="B37" s="31" t="n"/>
      <c r="C37" s="31" t="n"/>
      <c r="D37" s="31" t="n"/>
      <c r="E37" s="31" t="n"/>
      <c r="F37" s="31" t="n"/>
      <c r="G37" s="31">
        <f>IF(F37="","",IFERROR(TRIM(INDEX(Ref_activites_V2!$B$2:$B$131,MATCH(F37,Ref_activites_V2!$A$2:$A$131,0))),"Code inconnu"))</f>
        <v/>
      </c>
      <c r="H37" s="32" t="n"/>
      <c r="I37" s="31" t="n"/>
      <c r="J37" s="24" t="n"/>
      <c r="K37" s="24" t="n"/>
      <c r="L37" s="31">
        <f>IF(K37="","",IFERROR(TRIM(INDEX(Ref_activites_V2!$B$2:$B$131,MATCH(K37,Ref_activites_V2!$A$2:$A$131,0))),"Code inconnu"))</f>
        <v/>
      </c>
      <c r="M37" s="24" t="n"/>
      <c r="N37" s="24" t="n"/>
    </row>
    <row r="38" ht="23.85" customHeight="1" s="18">
      <c r="A38" s="31" t="n"/>
      <c r="B38" s="31" t="n"/>
      <c r="C38" s="31" t="n"/>
      <c r="D38" s="31" t="n"/>
      <c r="E38" s="31" t="n"/>
      <c r="F38" s="31" t="n"/>
      <c r="G38" s="31">
        <f>IF(F38="","",IFERROR(TRIM(INDEX(Ref_activites_V2!$B$2:$B$131,MATCH(F38,Ref_activites_V2!$A$2:$A$131,0))),"Code inconnu"))</f>
        <v/>
      </c>
      <c r="H38" s="32" t="n"/>
      <c r="I38" s="31" t="n"/>
      <c r="J38" s="24" t="n"/>
      <c r="K38" s="24" t="n"/>
      <c r="L38" s="31">
        <f>IF(K38="","",IFERROR(TRIM(INDEX(Ref_activites_V2!$B$2:$B$131,MATCH(K38,Ref_activites_V2!$A$2:$A$131,0))),"Code inconnu"))</f>
        <v/>
      </c>
      <c r="M38" s="24" t="n"/>
      <c r="N38" s="24" t="n"/>
    </row>
    <row r="39" ht="23.85" customHeight="1" s="18">
      <c r="A39" s="31" t="n"/>
      <c r="B39" s="31" t="n"/>
      <c r="C39" s="31" t="n"/>
      <c r="D39" s="31" t="n"/>
      <c r="E39" s="31" t="n"/>
      <c r="F39" s="31" t="n"/>
      <c r="G39" s="31">
        <f>IF(F39="","",IFERROR(TRIM(INDEX(Ref_activites_V2!$B$2:$B$131,MATCH(F39,Ref_activites_V2!$A$2:$A$131,0))),"Code inconnu"))</f>
        <v/>
      </c>
      <c r="H39" s="32" t="n"/>
      <c r="I39" s="31" t="n"/>
      <c r="J39" s="24" t="n"/>
      <c r="K39" s="24" t="n"/>
      <c r="L39" s="31">
        <f>IF(K39="","",IFERROR(TRIM(INDEX(Ref_activites_V2!$B$2:$B$131,MATCH(K39,Ref_activites_V2!$A$2:$A$131,0))),"Code inconnu"))</f>
        <v/>
      </c>
      <c r="M39" s="24" t="n"/>
      <c r="N39" s="24" t="n"/>
    </row>
    <row r="40" ht="23.85" customHeight="1" s="18">
      <c r="A40" s="31" t="n"/>
      <c r="B40" s="31" t="n"/>
      <c r="C40" s="31" t="n"/>
      <c r="D40" s="31" t="n"/>
      <c r="E40" s="31" t="n"/>
      <c r="F40" s="31" t="n"/>
      <c r="G40" s="31">
        <f>IF(F40="","",IFERROR(TRIM(INDEX(Ref_activites_V2!$B$2:$B$131,MATCH(F40,Ref_activites_V2!$A$2:$A$131,0))),"Code inconnu"))</f>
        <v/>
      </c>
      <c r="H40" s="32" t="n"/>
      <c r="I40" s="31" t="n"/>
      <c r="J40" s="24" t="n"/>
      <c r="K40" s="24" t="n"/>
      <c r="L40" s="31">
        <f>IF(K40="","",IFERROR(TRIM(INDEX(Ref_activites_V2!$B$2:$B$131,MATCH(K40,Ref_activites_V2!$A$2:$A$131,0))),"Code inconnu"))</f>
        <v/>
      </c>
      <c r="M40" s="24" t="n"/>
      <c r="N40" s="24" t="n"/>
    </row>
    <row r="41" ht="23.85" customHeight="1" s="18">
      <c r="A41" s="31" t="n"/>
      <c r="B41" s="31" t="n"/>
      <c r="C41" s="31" t="n"/>
      <c r="D41" s="31" t="n"/>
      <c r="E41" s="31" t="n"/>
      <c r="F41" s="31" t="n"/>
      <c r="G41" s="31">
        <f>IF(F41="","",IFERROR(TRIM(INDEX(Ref_activites_V2!$B$2:$B$131,MATCH(F41,Ref_activites_V2!$A$2:$A$131,0))),"Code inconnu"))</f>
        <v/>
      </c>
      <c r="H41" s="32" t="n"/>
      <c r="I41" s="31" t="n"/>
      <c r="J41" s="24" t="n"/>
      <c r="K41" s="24" t="n"/>
      <c r="L41" s="31">
        <f>IF(K41="","",IFERROR(TRIM(INDEX(Ref_activites_V2!$B$2:$B$131,MATCH(K41,Ref_activites_V2!$A$2:$A$131,0))),"Code inconnu"))</f>
        <v/>
      </c>
      <c r="M41" s="24" t="n"/>
      <c r="N41" s="24" t="n"/>
    </row>
    <row r="42" ht="23.85" customHeight="1" s="18">
      <c r="A42" s="31" t="n"/>
      <c r="B42" s="31" t="n"/>
      <c r="C42" s="31" t="n"/>
      <c r="D42" s="31" t="n"/>
      <c r="E42" s="31" t="n"/>
      <c r="F42" s="31" t="n"/>
      <c r="G42" s="31">
        <f>IF(F42="","",IFERROR(TRIM(INDEX(Ref_activites_V2!$B$2:$B$131,MATCH(F42,Ref_activites_V2!$A$2:$A$131,0))),"Code inconnu"))</f>
        <v/>
      </c>
      <c r="H42" s="32" t="n"/>
      <c r="I42" s="31" t="n"/>
      <c r="J42" s="24" t="n"/>
      <c r="K42" s="24" t="n"/>
      <c r="L42" s="31">
        <f>IF(K42="","",IFERROR(TRIM(INDEX(Ref_activites_V2!$B$2:$B$131,MATCH(K42,Ref_activites_V2!$A$2:$A$131,0))),"Code inconnu"))</f>
        <v/>
      </c>
      <c r="M42" s="24" t="n"/>
      <c r="N42" s="24" t="n"/>
    </row>
    <row r="43" ht="23.85" customHeight="1" s="18">
      <c r="A43" s="31" t="n"/>
      <c r="B43" s="31" t="n"/>
      <c r="C43" s="31" t="n"/>
      <c r="D43" s="31" t="n"/>
      <c r="E43" s="31" t="n"/>
      <c r="F43" s="31" t="n"/>
      <c r="G43" s="31">
        <f>IF(F43="","",IFERROR(TRIM(INDEX(Ref_activites_V2!$B$2:$B$131,MATCH(F43,Ref_activites_V2!$A$2:$A$131,0))),"Code inconnu"))</f>
        <v/>
      </c>
      <c r="H43" s="32" t="n"/>
      <c r="I43" s="31" t="n"/>
      <c r="J43" s="24" t="n"/>
      <c r="K43" s="24" t="n"/>
      <c r="L43" s="31">
        <f>IF(K43="","",IFERROR(TRIM(INDEX(Ref_activites_V2!$B$2:$B$131,MATCH(K43,Ref_activites_V2!$A$2:$A$131,0))),"Code inconnu"))</f>
        <v/>
      </c>
      <c r="M43" s="24" t="n"/>
      <c r="N43" s="24" t="n"/>
    </row>
    <row r="44" ht="23.85" customHeight="1" s="18">
      <c r="A44" s="31" t="n"/>
      <c r="B44" s="31" t="n"/>
      <c r="C44" s="31" t="n"/>
      <c r="D44" s="31" t="n"/>
      <c r="E44" s="31" t="n"/>
      <c r="F44" s="31" t="n"/>
      <c r="G44" s="31">
        <f>IF(F44="","",IFERROR(TRIM(INDEX(Ref_activites_V2!$B$2:$B$131,MATCH(F44,Ref_activites_V2!$A$2:$A$131,0))),"Code inconnu"))</f>
        <v/>
      </c>
      <c r="H44" s="32" t="n"/>
      <c r="I44" s="31" t="n"/>
      <c r="J44" s="24" t="n"/>
      <c r="K44" s="24" t="n"/>
      <c r="L44" s="31">
        <f>IF(K44="","",IFERROR(TRIM(INDEX(Ref_activites_V2!$B$2:$B$131,MATCH(K44,Ref_activites_V2!$A$2:$A$131,0))),"Code inconnu"))</f>
        <v/>
      </c>
      <c r="M44" s="24" t="n"/>
      <c r="N44" s="24" t="n"/>
    </row>
    <row r="45" ht="23.85" customHeight="1" s="18">
      <c r="A45" s="31" t="n"/>
      <c r="B45" s="31" t="n"/>
      <c r="C45" s="31" t="n"/>
      <c r="D45" s="31" t="n"/>
      <c r="E45" s="31" t="n"/>
      <c r="F45" s="31" t="n"/>
      <c r="G45" s="31">
        <f>IF(F45="","",IFERROR(TRIM(INDEX(Ref_activites_V2!$B$2:$B$131,MATCH(F45,Ref_activites_V2!$A$2:$A$131,0))),"Code inconnu"))</f>
        <v/>
      </c>
      <c r="H45" s="32" t="n"/>
      <c r="I45" s="31" t="n"/>
      <c r="J45" s="24" t="n"/>
      <c r="K45" s="24" t="n"/>
      <c r="L45" s="31">
        <f>IF(K45="","",IFERROR(TRIM(INDEX(Ref_activites_V2!$B$2:$B$131,MATCH(K45,Ref_activites_V2!$A$2:$A$131,0))),"Code inconnu"))</f>
        <v/>
      </c>
      <c r="M45" s="24" t="n"/>
      <c r="N45" s="24" t="n"/>
    </row>
    <row r="46" ht="23.85" customHeight="1" s="18">
      <c r="A46" s="31" t="n"/>
      <c r="B46" s="31" t="n"/>
      <c r="C46" s="31" t="n"/>
      <c r="D46" s="31" t="n"/>
      <c r="E46" s="31" t="n"/>
      <c r="F46" s="31" t="n"/>
      <c r="G46" s="31">
        <f>IF(F46="","",IFERROR(TRIM(INDEX(Ref_activites_V2!$B$2:$B$131,MATCH(F46,Ref_activites_V2!$A$2:$A$131,0))),"Code inconnu"))</f>
        <v/>
      </c>
      <c r="H46" s="32" t="n"/>
      <c r="I46" s="31" t="n"/>
      <c r="J46" s="24" t="n"/>
      <c r="K46" s="24" t="n"/>
      <c r="L46" s="31">
        <f>IF(K46="","",IFERROR(TRIM(INDEX(Ref_activites_V2!$B$2:$B$131,MATCH(K46,Ref_activites_V2!$A$2:$A$131,0))),"Code inconnu"))</f>
        <v/>
      </c>
      <c r="M46" s="24" t="n"/>
      <c r="N46" s="24" t="n"/>
    </row>
    <row r="47" ht="23.85" customHeight="1" s="18">
      <c r="A47" s="31" t="n"/>
      <c r="B47" s="31" t="n"/>
      <c r="C47" s="31" t="n"/>
      <c r="D47" s="31" t="n"/>
      <c r="E47" s="31" t="n"/>
      <c r="F47" s="31" t="n"/>
      <c r="G47" s="31">
        <f>IF(F47="","",IFERROR(TRIM(INDEX(Ref_activites_V2!$B$2:$B$131,MATCH(F47,Ref_activites_V2!$A$2:$A$131,0))),"Code inconnu"))</f>
        <v/>
      </c>
      <c r="H47" s="32" t="n"/>
      <c r="I47" s="31" t="n"/>
      <c r="J47" s="24" t="n"/>
      <c r="K47" s="24" t="n"/>
      <c r="L47" s="31">
        <f>IF(K47="","",IFERROR(TRIM(INDEX(Ref_activites_V2!$B$2:$B$131,MATCH(K47,Ref_activites_V2!$A$2:$A$131,0))),"Code inconnu"))</f>
        <v/>
      </c>
      <c r="M47" s="24" t="n"/>
      <c r="N47" s="24" t="n"/>
    </row>
    <row r="48" ht="23.85" customHeight="1" s="18">
      <c r="A48" s="31" t="n"/>
      <c r="B48" s="31" t="n"/>
      <c r="C48" s="31" t="n"/>
      <c r="D48" s="31" t="n"/>
      <c r="E48" s="31" t="n"/>
      <c r="F48" s="31" t="n"/>
      <c r="G48" s="31">
        <f>IF(F48="","",IFERROR(TRIM(INDEX(Ref_activites_V2!$B$2:$B$131,MATCH(F48,Ref_activites_V2!$A$2:$A$131,0))),"Code inconnu"))</f>
        <v/>
      </c>
      <c r="H48" s="32" t="n"/>
      <c r="I48" s="31" t="n"/>
      <c r="J48" s="24" t="n"/>
      <c r="K48" s="24" t="n"/>
      <c r="L48" s="31">
        <f>IF(K48="","",IFERROR(TRIM(INDEX(Ref_activites_V2!$B$2:$B$131,MATCH(K48,Ref_activites_V2!$A$2:$A$131,0))),"Code inconnu"))</f>
        <v/>
      </c>
      <c r="M48" s="24" t="n"/>
      <c r="N48" s="24" t="n"/>
    </row>
    <row r="49" ht="23.85" customHeight="1" s="18">
      <c r="A49" s="31" t="n"/>
      <c r="B49" s="31" t="n"/>
      <c r="C49" s="31" t="n"/>
      <c r="D49" s="31" t="n"/>
      <c r="E49" s="31" t="n"/>
      <c r="F49" s="31" t="n"/>
      <c r="G49" s="31">
        <f>IF(F49="","",IFERROR(TRIM(INDEX(Ref_activites_V2!$B$2:$B$131,MATCH(F49,Ref_activites_V2!$A$2:$A$131,0))),"Code inconnu"))</f>
        <v/>
      </c>
      <c r="H49" s="32" t="n"/>
      <c r="I49" s="31" t="n"/>
      <c r="J49" s="24" t="n"/>
      <c r="K49" s="24" t="n"/>
      <c r="L49" s="31">
        <f>IF(K49="","",IFERROR(TRIM(INDEX(Ref_activites_V2!$B$2:$B$131,MATCH(K49,Ref_activites_V2!$A$2:$A$131,0))),"Code inconnu"))</f>
        <v/>
      </c>
      <c r="M49" s="24" t="n"/>
      <c r="N49" s="24" t="n"/>
    </row>
    <row r="50" ht="23.85" customHeight="1" s="18">
      <c r="A50" s="31" t="n"/>
      <c r="B50" s="31" t="n"/>
      <c r="C50" s="31" t="n"/>
      <c r="D50" s="31" t="n"/>
      <c r="E50" s="31" t="n"/>
      <c r="F50" s="31" t="n"/>
      <c r="G50" s="31">
        <f>IF(F50="","",IFERROR(TRIM(INDEX(Ref_activites_V2!$B$2:$B$131,MATCH(F50,Ref_activites_V2!$A$2:$A$131,0))),"Code inconnu"))</f>
        <v/>
      </c>
      <c r="H50" s="32" t="n"/>
      <c r="I50" s="31" t="n"/>
      <c r="J50" s="24" t="n"/>
      <c r="K50" s="24" t="n"/>
      <c r="L50" s="31">
        <f>IF(K50="","",IFERROR(TRIM(INDEX(Ref_activites_V2!$B$2:$B$131,MATCH(K50,Ref_activites_V2!$A$2:$A$131,0))),"Code inconnu"))</f>
        <v/>
      </c>
      <c r="M50" s="24" t="n"/>
      <c r="N50" s="24" t="n"/>
    </row>
    <row r="51" ht="23.85" customHeight="1" s="18">
      <c r="A51" s="31" t="n"/>
      <c r="B51" s="31" t="n"/>
      <c r="C51" s="31" t="n"/>
      <c r="D51" s="31" t="n"/>
      <c r="E51" s="31" t="n"/>
      <c r="F51" s="31" t="n"/>
      <c r="G51" s="31">
        <f>IF(F51="","",IFERROR(TRIM(INDEX(Ref_activites_V2!$B$2:$B$131,MATCH(F51,Ref_activites_V2!$A$2:$A$131,0))),"Code inconnu"))</f>
        <v/>
      </c>
      <c r="H51" s="32" t="n"/>
      <c r="I51" s="31" t="n"/>
      <c r="J51" s="24" t="n"/>
      <c r="K51" s="24" t="n"/>
      <c r="L51" s="31">
        <f>IF(K51="","",IFERROR(TRIM(INDEX(Ref_activites_V2!$B$2:$B$131,MATCH(K51,Ref_activites_V2!$A$2:$A$131,0))),"Code inconnu"))</f>
        <v/>
      </c>
      <c r="M51" s="24" t="n"/>
      <c r="N51" s="24" t="n"/>
    </row>
    <row r="52" ht="23.85" customHeight="1" s="18">
      <c r="A52" s="31" t="n"/>
      <c r="B52" s="31" t="n"/>
      <c r="C52" s="31" t="n"/>
      <c r="D52" s="31" t="n"/>
      <c r="E52" s="31" t="n"/>
      <c r="F52" s="31" t="n"/>
      <c r="G52" s="31">
        <f>IF(F52="","",IFERROR(TRIM(INDEX(Ref_activites_V2!$B$2:$B$131,MATCH(F52,Ref_activites_V2!$A$2:$A$131,0))),"Code inconnu"))</f>
        <v/>
      </c>
      <c r="H52" s="32" t="n"/>
      <c r="I52" s="31" t="n"/>
      <c r="J52" s="24" t="n"/>
      <c r="K52" s="24" t="n"/>
      <c r="L52" s="31">
        <f>IF(K52="","",IFERROR(TRIM(INDEX(Ref_activites_V2!$B$2:$B$131,MATCH(K52,Ref_activites_V2!$A$2:$A$131,0))),"Code inconnu"))</f>
        <v/>
      </c>
      <c r="M52" s="24" t="n"/>
      <c r="N52" s="24" t="n"/>
    </row>
    <row r="53" ht="23.85" customHeight="1" s="18">
      <c r="A53" s="31" t="n"/>
      <c r="B53" s="31" t="n"/>
      <c r="C53" s="31" t="n"/>
      <c r="D53" s="31" t="n"/>
      <c r="E53" s="31" t="n"/>
      <c r="F53" s="31" t="n"/>
      <c r="G53" s="31">
        <f>IF(F53="","",IFERROR(TRIM(INDEX(Ref_activites_V2!$B$2:$B$131,MATCH(F53,Ref_activites_V2!$A$2:$A$131,0))),"Code inconnu"))</f>
        <v/>
      </c>
      <c r="H53" s="32" t="n"/>
      <c r="I53" s="31" t="n"/>
      <c r="J53" s="24" t="n"/>
      <c r="K53" s="24" t="n"/>
      <c r="L53" s="31">
        <f>IF(K53="","",IFERROR(TRIM(INDEX(Ref_activites_V2!$B$2:$B$131,MATCH(K53,Ref_activites_V2!$A$2:$A$131,0))),"Code inconnu"))</f>
        <v/>
      </c>
      <c r="M53" s="24" t="n"/>
      <c r="N53" s="24" t="n"/>
    </row>
    <row r="54" ht="23.85" customHeight="1" s="18">
      <c r="A54" s="31" t="n"/>
      <c r="B54" s="31" t="n"/>
      <c r="C54" s="31" t="n"/>
      <c r="D54" s="31" t="n"/>
      <c r="E54" s="31" t="n"/>
      <c r="F54" s="31" t="n"/>
      <c r="G54" s="31">
        <f>IF(F54="","",IFERROR(TRIM(INDEX(Ref_activites_V2!$B$2:$B$131,MATCH(F54,Ref_activites_V2!$A$2:$A$131,0))),"Code inconnu"))</f>
        <v/>
      </c>
      <c r="H54" s="32" t="n"/>
      <c r="I54" s="31" t="n"/>
      <c r="J54" s="24" t="n"/>
      <c r="K54" s="24" t="n"/>
      <c r="L54" s="31">
        <f>IF(K54="","",IFERROR(TRIM(INDEX(Ref_activites_V2!$B$2:$B$131,MATCH(K54,Ref_activites_V2!$A$2:$A$131,0))),"Code inconnu"))</f>
        <v/>
      </c>
      <c r="M54" s="24" t="n"/>
      <c r="N54" s="24" t="n"/>
    </row>
    <row r="55" ht="23.85" customHeight="1" s="18">
      <c r="A55" s="31" t="n"/>
      <c r="B55" s="31" t="n"/>
      <c r="C55" s="31" t="n"/>
      <c r="D55" s="31" t="n"/>
      <c r="E55" s="31" t="n"/>
      <c r="F55" s="31" t="n"/>
      <c r="G55" s="31">
        <f>IF(F55="","",IFERROR(TRIM(INDEX(Ref_activites_V2!$B$2:$B$131,MATCH(F55,Ref_activites_V2!$A$2:$A$131,0))),"Code inconnu"))</f>
        <v/>
      </c>
      <c r="H55" s="32" t="n"/>
      <c r="I55" s="31" t="n"/>
      <c r="J55" s="24" t="n"/>
      <c r="K55" s="24" t="n"/>
      <c r="L55" s="31">
        <f>IF(K55="","",IFERROR(TRIM(INDEX(Ref_activites_V2!$B$2:$B$131,MATCH(K55,Ref_activites_V2!$A$2:$A$131,0))),"Code inconnu"))</f>
        <v/>
      </c>
      <c r="M55" s="24" t="n"/>
      <c r="N55" s="24" t="n"/>
    </row>
    <row r="56" ht="23.85" customHeight="1" s="18">
      <c r="A56" s="31" t="n"/>
      <c r="B56" s="31" t="n"/>
      <c r="C56" s="31" t="n"/>
      <c r="D56" s="31" t="n"/>
      <c r="E56" s="31" t="n"/>
      <c r="F56" s="31" t="n"/>
      <c r="G56" s="31">
        <f>IF(F56="","",IFERROR(TRIM(INDEX(Ref_activites_V2!$B$2:$B$131,MATCH(F56,Ref_activites_V2!$A$2:$A$131,0))),"Code inconnu"))</f>
        <v/>
      </c>
      <c r="H56" s="32" t="n"/>
      <c r="I56" s="31" t="n"/>
      <c r="J56" s="24" t="n"/>
      <c r="K56" s="24" t="n"/>
      <c r="L56" s="31">
        <f>IF(K56="","",IFERROR(TRIM(INDEX(Ref_activites_V2!$B$2:$B$131,MATCH(K56,Ref_activites_V2!$A$2:$A$131,0))),"Code inconnu"))</f>
        <v/>
      </c>
      <c r="M56" s="24" t="n"/>
      <c r="N56" s="24" t="n"/>
    </row>
    <row r="57" ht="23.85" customHeight="1" s="18">
      <c r="A57" s="31" t="n"/>
      <c r="B57" s="31" t="n"/>
      <c r="C57" s="31" t="n"/>
      <c r="D57" s="31" t="n"/>
      <c r="E57" s="31" t="n"/>
      <c r="F57" s="31" t="n"/>
      <c r="G57" s="31">
        <f>IF(F57="","",IFERROR(TRIM(INDEX(Ref_activites_V2!$B$2:$B$131,MATCH(F57,Ref_activites_V2!$A$2:$A$131,0))),"Code inconnu"))</f>
        <v/>
      </c>
      <c r="H57" s="32" t="n"/>
      <c r="I57" s="31" t="n"/>
      <c r="J57" s="24" t="n"/>
      <c r="K57" s="24" t="n"/>
      <c r="L57" s="31">
        <f>IF(K57="","",IFERROR(TRIM(INDEX(Ref_activites_V2!$B$2:$B$131,MATCH(K57,Ref_activites_V2!$A$2:$A$131,0))),"Code inconnu"))</f>
        <v/>
      </c>
      <c r="M57" s="24" t="n"/>
      <c r="N57" s="24" t="n"/>
    </row>
    <row r="58" ht="23.85" customHeight="1" s="18">
      <c r="A58" s="31" t="n"/>
      <c r="B58" s="31" t="n"/>
      <c r="C58" s="31" t="n"/>
      <c r="D58" s="31" t="n"/>
      <c r="E58" s="31" t="n"/>
      <c r="F58" s="31" t="n"/>
      <c r="G58" s="31">
        <f>IF(F58="","",IFERROR(TRIM(INDEX(Ref_activites_V2!$B$2:$B$131,MATCH(F58,Ref_activites_V2!$A$2:$A$131,0))),"Code inconnu"))</f>
        <v/>
      </c>
      <c r="H58" s="32" t="n"/>
      <c r="I58" s="31" t="n"/>
      <c r="J58" s="24" t="n"/>
      <c r="K58" s="24" t="n"/>
      <c r="L58" s="31">
        <f>IF(K58="","",IFERROR(TRIM(INDEX(Ref_activites_V2!$B$2:$B$131,MATCH(K58,Ref_activites_V2!$A$2:$A$131,0))),"Code inconnu"))</f>
        <v/>
      </c>
      <c r="M58" s="24" t="n"/>
      <c r="N58" s="24" t="n"/>
    </row>
    <row r="59" ht="23.85" customHeight="1" s="18">
      <c r="A59" s="31" t="n"/>
      <c r="B59" s="31" t="n"/>
      <c r="C59" s="31" t="n"/>
      <c r="D59" s="31" t="n"/>
      <c r="E59" s="31" t="n"/>
      <c r="F59" s="31" t="n"/>
      <c r="G59" s="31">
        <f>IF(F59="","",IFERROR(TRIM(INDEX(Ref_activites_V2!$B$2:$B$131,MATCH(F59,Ref_activites_V2!$A$2:$A$131,0))),"Code inconnu"))</f>
        <v/>
      </c>
      <c r="H59" s="32" t="n"/>
      <c r="I59" s="31" t="n"/>
      <c r="J59" s="24" t="n"/>
      <c r="K59" s="24" t="n"/>
      <c r="L59" s="31">
        <f>IF(K59="","",IFERROR(TRIM(INDEX(Ref_activites_V2!$B$2:$B$131,MATCH(K59,Ref_activites_V2!$A$2:$A$131,0))),"Code inconnu"))</f>
        <v/>
      </c>
      <c r="M59" s="24" t="n"/>
      <c r="N59" s="24" t="n"/>
    </row>
    <row r="60" ht="23.85" customHeight="1" s="18">
      <c r="A60" s="31" t="n"/>
      <c r="B60" s="31" t="n"/>
      <c r="C60" s="31" t="n"/>
      <c r="D60" s="31" t="n"/>
      <c r="E60" s="31" t="n"/>
      <c r="F60" s="31" t="n"/>
      <c r="G60" s="31">
        <f>IF(F60="","",IFERROR(TRIM(INDEX(Ref_activites_V2!$B$2:$B$131,MATCH(F60,Ref_activites_V2!$A$2:$A$131,0))),"Code inconnu"))</f>
        <v/>
      </c>
      <c r="H60" s="32" t="n"/>
      <c r="I60" s="31" t="n"/>
      <c r="J60" s="24" t="n"/>
      <c r="K60" s="24" t="n"/>
      <c r="L60" s="31">
        <f>IF(K60="","",IFERROR(TRIM(INDEX(Ref_activites_V2!$B$2:$B$131,MATCH(K60,Ref_activites_V2!$A$2:$A$131,0))),"Code inconnu"))</f>
        <v/>
      </c>
      <c r="M60" s="24" t="n"/>
      <c r="N60" s="24" t="n"/>
    </row>
    <row r="61" ht="23.85" customHeight="1" s="18">
      <c r="A61" s="31" t="n"/>
      <c r="B61" s="31" t="n"/>
      <c r="C61" s="31" t="n"/>
      <c r="D61" s="31" t="n"/>
      <c r="E61" s="31" t="n"/>
      <c r="F61" s="31" t="n"/>
      <c r="G61" s="31">
        <f>IF(F61="","",IFERROR(TRIM(INDEX(Ref_activites_V2!$B$2:$B$131,MATCH(F61,Ref_activites_V2!$A$2:$A$131,0))),"Code inconnu"))</f>
        <v/>
      </c>
      <c r="H61" s="32" t="n"/>
      <c r="I61" s="31" t="n"/>
      <c r="J61" s="24" t="n"/>
      <c r="K61" s="24" t="n"/>
      <c r="L61" s="31">
        <f>IF(K61="","",IFERROR(TRIM(INDEX(Ref_activites_V2!$B$2:$B$131,MATCH(K61,Ref_activites_V2!$A$2:$A$131,0))),"Code inconnu"))</f>
        <v/>
      </c>
      <c r="M61" s="24" t="n"/>
      <c r="N61" s="24" t="n"/>
    </row>
    <row r="62" ht="23.85" customHeight="1" s="18">
      <c r="A62" s="31" t="n"/>
      <c r="B62" s="31" t="n"/>
      <c r="C62" s="31" t="n"/>
      <c r="D62" s="31" t="n"/>
      <c r="E62" s="31" t="n"/>
      <c r="F62" s="31" t="n"/>
      <c r="G62" s="31">
        <f>IF(F62="","",IFERROR(TRIM(INDEX(Ref_activites_V2!$B$2:$B$131,MATCH(F62,Ref_activites_V2!$A$2:$A$131,0))),"Code inconnu"))</f>
        <v/>
      </c>
      <c r="H62" s="32" t="n"/>
      <c r="I62" s="31" t="n"/>
      <c r="J62" s="24" t="n"/>
      <c r="K62" s="24" t="n"/>
      <c r="L62" s="31">
        <f>IF(K62="","",IFERROR(TRIM(INDEX(Ref_activites_V2!$B$2:$B$131,MATCH(K62,Ref_activites_V2!$A$2:$A$131,0))),"Code inconnu"))</f>
        <v/>
      </c>
      <c r="M62" s="24" t="n"/>
      <c r="N62" s="24" t="n"/>
    </row>
    <row r="63" ht="23.85" customHeight="1" s="18">
      <c r="A63" s="31" t="n"/>
      <c r="B63" s="31" t="n"/>
      <c r="C63" s="31" t="n"/>
      <c r="D63" s="31" t="n"/>
      <c r="E63" s="31" t="n"/>
      <c r="F63" s="31" t="n"/>
      <c r="G63" s="31">
        <f>IF(F63="","",IFERROR(TRIM(INDEX(Ref_activites_V2!$B$2:$B$131,MATCH(F63,Ref_activites_V2!$A$2:$A$131,0))),"Code inconnu"))</f>
        <v/>
      </c>
      <c r="H63" s="32" t="n"/>
      <c r="I63" s="31" t="n"/>
      <c r="J63" s="24" t="n"/>
      <c r="K63" s="24" t="n"/>
      <c r="L63" s="31">
        <f>IF(K63="","",IFERROR(TRIM(INDEX(Ref_activites_V2!$B$2:$B$131,MATCH(K63,Ref_activites_V2!$A$2:$A$131,0))),"Code inconnu"))</f>
        <v/>
      </c>
      <c r="M63" s="24" t="n"/>
      <c r="N63" s="24" t="n"/>
    </row>
    <row r="64" ht="23.85" customHeight="1" s="18">
      <c r="A64" s="31" t="n"/>
      <c r="B64" s="31" t="n"/>
      <c r="C64" s="31" t="n"/>
      <c r="D64" s="31" t="n"/>
      <c r="E64" s="31" t="n"/>
      <c r="F64" s="31" t="n"/>
      <c r="G64" s="31">
        <f>IF(F64="","",IFERROR(TRIM(INDEX(Ref_activites_V2!$B$2:$B$131,MATCH(F64,Ref_activites_V2!$A$2:$A$131,0))),"Code inconnu"))</f>
        <v/>
      </c>
      <c r="H64" s="32" t="n"/>
      <c r="I64" s="31" t="n"/>
      <c r="J64" s="24" t="n"/>
      <c r="K64" s="24" t="n"/>
      <c r="L64" s="31">
        <f>IF(K64="","",IFERROR(TRIM(INDEX(Ref_activites_V2!$B$2:$B$131,MATCH(K64,Ref_activites_V2!$A$2:$A$131,0))),"Code inconnu"))</f>
        <v/>
      </c>
      <c r="M64" s="24" t="n"/>
      <c r="N64" s="24" t="n"/>
    </row>
    <row r="65" ht="23.85" customHeight="1" s="18">
      <c r="A65" s="31" t="n"/>
      <c r="B65" s="31" t="n"/>
      <c r="C65" s="31" t="n"/>
      <c r="D65" s="31" t="n"/>
      <c r="E65" s="31" t="n"/>
      <c r="F65" s="31" t="n"/>
      <c r="G65" s="31">
        <f>IF(F65="","",IFERROR(TRIM(INDEX(Ref_activites_V2!$B$2:$B$131,MATCH(F65,Ref_activites_V2!$A$2:$A$131,0))),"Code inconnu"))</f>
        <v/>
      </c>
      <c r="H65" s="32" t="n"/>
      <c r="I65" s="31" t="n"/>
      <c r="J65" s="24" t="n"/>
      <c r="K65" s="24" t="n"/>
      <c r="L65" s="31">
        <f>IF(K65="","",IFERROR(TRIM(INDEX(Ref_activites_V2!$B$2:$B$131,MATCH(K65,Ref_activites_V2!$A$2:$A$131,0))),"Code inconnu"))</f>
        <v/>
      </c>
      <c r="M65" s="24" t="n"/>
      <c r="N65" s="24" t="n"/>
    </row>
    <row r="66" ht="23.85" customHeight="1" s="18">
      <c r="A66" s="31" t="n"/>
      <c r="B66" s="31" t="n"/>
      <c r="C66" s="31" t="n"/>
      <c r="D66" s="31" t="n"/>
      <c r="E66" s="31" t="n"/>
      <c r="F66" s="31" t="n"/>
      <c r="G66" s="31">
        <f>IF(F66="","",IFERROR(TRIM(INDEX(Ref_activites_V2!$B$2:$B$131,MATCH(F66,Ref_activites_V2!$A$2:$A$131,0))),"Code inconnu"))</f>
        <v/>
      </c>
      <c r="H66" s="32" t="n"/>
      <c r="I66" s="31" t="n"/>
      <c r="J66" s="24" t="n"/>
      <c r="K66" s="24" t="n"/>
      <c r="L66" s="31">
        <f>IF(K66="","",IFERROR(TRIM(INDEX(Ref_activites_V2!$B$2:$B$131,MATCH(K66,Ref_activites_V2!$A$2:$A$131,0))),"Code inconnu"))</f>
        <v/>
      </c>
      <c r="M66" s="24" t="n"/>
      <c r="N66" s="24" t="n"/>
    </row>
    <row r="67" ht="23.85" customHeight="1" s="18">
      <c r="A67" s="31" t="n"/>
      <c r="B67" s="31" t="n"/>
      <c r="C67" s="31" t="n"/>
      <c r="D67" s="31" t="n"/>
      <c r="E67" s="31" t="n"/>
      <c r="F67" s="31" t="n"/>
      <c r="G67" s="31">
        <f>IF(F67="","",IFERROR(TRIM(INDEX(Ref_activites_V2!$B$2:$B$131,MATCH(F67,Ref_activites_V2!$A$2:$A$131,0))),"Code inconnu"))</f>
        <v/>
      </c>
      <c r="H67" s="32" t="n"/>
      <c r="I67" s="31" t="n"/>
      <c r="J67" s="24" t="n"/>
      <c r="K67" s="24" t="n"/>
      <c r="L67" s="31">
        <f>IF(K67="","",IFERROR(TRIM(INDEX(Ref_activites_V2!$B$2:$B$131,MATCH(K67,Ref_activites_V2!$A$2:$A$131,0))),"Code inconnu"))</f>
        <v/>
      </c>
      <c r="M67" s="24" t="n"/>
      <c r="N67" s="24" t="n"/>
    </row>
    <row r="68" ht="23.85" customHeight="1" s="18">
      <c r="A68" s="31" t="n"/>
      <c r="B68" s="31" t="n"/>
      <c r="C68" s="31" t="n"/>
      <c r="D68" s="31" t="n"/>
      <c r="E68" s="31" t="n"/>
      <c r="F68" s="31" t="n"/>
      <c r="G68" s="31">
        <f>IF(F68="","",IFERROR(TRIM(INDEX(Ref_activites_V2!$B$2:$B$131,MATCH(F68,Ref_activites_V2!$A$2:$A$131,0))),"Code inconnu"))</f>
        <v/>
      </c>
      <c r="H68" s="32" t="n"/>
      <c r="I68" s="31" t="n"/>
      <c r="J68" s="24" t="n"/>
      <c r="K68" s="24" t="n"/>
      <c r="L68" s="31">
        <f>IF(K68="","",IFERROR(TRIM(INDEX(Ref_activites_V2!$B$2:$B$131,MATCH(K68,Ref_activites_V2!$A$2:$A$131,0))),"Code inconnu"))</f>
        <v/>
      </c>
      <c r="M68" s="24" t="n"/>
      <c r="N68" s="24" t="n"/>
    </row>
    <row r="69" ht="23.85" customHeight="1" s="18">
      <c r="A69" s="31" t="n"/>
      <c r="B69" s="31" t="n"/>
      <c r="C69" s="31" t="n"/>
      <c r="D69" s="31" t="n"/>
      <c r="E69" s="31" t="n"/>
      <c r="F69" s="31" t="n"/>
      <c r="G69" s="31">
        <f>IF(F69="","",IFERROR(TRIM(INDEX(Ref_activites_V2!$B$2:$B$131,MATCH(F69,Ref_activites_V2!$A$2:$A$131,0))),"Code inconnu"))</f>
        <v/>
      </c>
      <c r="H69" s="32" t="n"/>
      <c r="I69" s="31" t="n"/>
      <c r="J69" s="24" t="n"/>
      <c r="K69" s="24" t="n"/>
      <c r="L69" s="31">
        <f>IF(K69="","",IFERROR(TRIM(INDEX(Ref_activites_V2!$B$2:$B$131,MATCH(K69,Ref_activites_V2!$A$2:$A$131,0))),"Code inconnu"))</f>
        <v/>
      </c>
      <c r="M69" s="24" t="n"/>
      <c r="N69" s="24" t="n"/>
    </row>
    <row r="70" ht="23.85" customHeight="1" s="18">
      <c r="A70" s="31" t="n"/>
      <c r="B70" s="31" t="n"/>
      <c r="C70" s="31" t="n"/>
      <c r="D70" s="31" t="n"/>
      <c r="E70" s="31" t="n"/>
      <c r="F70" s="31" t="n"/>
      <c r="G70" s="31">
        <f>IF(F70="","",IFERROR(TRIM(INDEX(Ref_activites_V2!$B$2:$B$131,MATCH(F70,Ref_activites_V2!$A$2:$A$131,0))),"Code inconnu"))</f>
        <v/>
      </c>
      <c r="H70" s="32" t="n"/>
      <c r="I70" s="31" t="n"/>
      <c r="J70" s="24" t="n"/>
      <c r="K70" s="24" t="n"/>
      <c r="L70" s="31">
        <f>IF(K70="","",IFERROR(TRIM(INDEX(Ref_activites_V2!$B$2:$B$131,MATCH(K70,Ref_activites_V2!$A$2:$A$131,0))),"Code inconnu"))</f>
        <v/>
      </c>
      <c r="M70" s="24" t="n"/>
      <c r="N70" s="24" t="n"/>
    </row>
    <row r="71" ht="23.85" customHeight="1" s="18">
      <c r="A71" s="31" t="n"/>
      <c r="B71" s="31" t="n"/>
      <c r="C71" s="31" t="n"/>
      <c r="D71" s="31" t="n"/>
      <c r="E71" s="31" t="n"/>
      <c r="F71" s="31" t="n"/>
      <c r="G71" s="31">
        <f>IF(F71="","",IFERROR(TRIM(INDEX(Ref_activites_V2!$B$2:$B$131,MATCH(F71,Ref_activites_V2!$A$2:$A$131,0))),"Code inconnu"))</f>
        <v/>
      </c>
      <c r="H71" s="32" t="n"/>
      <c r="I71" s="31" t="n"/>
      <c r="J71" s="24" t="n"/>
      <c r="K71" s="24" t="n"/>
      <c r="L71" s="31">
        <f>IF(K71="","",IFERROR(TRIM(INDEX(Ref_activites_V2!$B$2:$B$131,MATCH(K71,Ref_activites_V2!$A$2:$A$131,0))),"Code inconnu"))</f>
        <v/>
      </c>
      <c r="M71" s="24" t="n"/>
      <c r="N71" s="24" t="n"/>
    </row>
    <row r="72" ht="23.85" customHeight="1" s="18">
      <c r="A72" s="31" t="n"/>
      <c r="B72" s="31" t="n"/>
      <c r="C72" s="31" t="n"/>
      <c r="D72" s="31" t="n"/>
      <c r="E72" s="31" t="n"/>
      <c r="F72" s="31" t="n"/>
      <c r="G72" s="31">
        <f>IF(F72="","",IFERROR(TRIM(INDEX(Ref_activites_V2!$B$2:$B$131,MATCH(F72,Ref_activites_V2!$A$2:$A$131,0))),"Code inconnu"))</f>
        <v/>
      </c>
      <c r="H72" s="32" t="n"/>
      <c r="I72" s="31" t="n"/>
      <c r="J72" s="24" t="n"/>
      <c r="K72" s="24" t="n"/>
      <c r="L72" s="31">
        <f>IF(K72="","",IFERROR(TRIM(INDEX(Ref_activites_V2!$B$2:$B$131,MATCH(K72,Ref_activites_V2!$A$2:$A$131,0))),"Code inconnu"))</f>
        <v/>
      </c>
      <c r="M72" s="24" t="n"/>
      <c r="N72" s="24" t="n"/>
    </row>
    <row r="73" ht="23.85" customHeight="1" s="18">
      <c r="A73" s="31" t="n"/>
      <c r="B73" s="31" t="n"/>
      <c r="C73" s="31" t="n"/>
      <c r="D73" s="31" t="n"/>
      <c r="E73" s="31" t="n"/>
      <c r="F73" s="31" t="n"/>
      <c r="G73" s="31">
        <f>IF(F73="","",IFERROR(TRIM(INDEX(Ref_activites_V2!$B$2:$B$131,MATCH(F73,Ref_activites_V2!$A$2:$A$131,0))),"Code inconnu"))</f>
        <v/>
      </c>
      <c r="H73" s="32" t="n"/>
      <c r="I73" s="31" t="n"/>
      <c r="J73" s="24" t="n"/>
      <c r="K73" s="24" t="n"/>
      <c r="L73" s="31">
        <f>IF(K73="","",IFERROR(TRIM(INDEX(Ref_activites_V2!$B$2:$B$131,MATCH(K73,Ref_activites_V2!$A$2:$A$131,0))),"Code inconnu"))</f>
        <v/>
      </c>
      <c r="M73" s="24" t="n"/>
      <c r="N73" s="24" t="n"/>
    </row>
    <row r="74" ht="23.85" customHeight="1" s="18">
      <c r="A74" s="31" t="n"/>
      <c r="B74" s="31" t="n"/>
      <c r="C74" s="31" t="n"/>
      <c r="D74" s="31" t="n"/>
      <c r="E74" s="31" t="n"/>
      <c r="F74" s="31" t="n"/>
      <c r="G74" s="31">
        <f>IF(F74="","",IFERROR(TRIM(INDEX(Ref_activites_V2!$B$2:$B$131,MATCH(F74,Ref_activites_V2!$A$2:$A$131,0))),"Code inconnu"))</f>
        <v/>
      </c>
      <c r="H74" s="32" t="n"/>
      <c r="I74" s="31" t="n"/>
      <c r="J74" s="24" t="n"/>
      <c r="K74" s="24" t="n"/>
      <c r="L74" s="31">
        <f>IF(K74="","",IFERROR(TRIM(INDEX(Ref_activites_V2!$B$2:$B$131,MATCH(K74,Ref_activites_V2!$A$2:$A$131,0))),"Code inconnu"))</f>
        <v/>
      </c>
      <c r="M74" s="24" t="n"/>
      <c r="N74" s="24" t="n"/>
    </row>
    <row r="75" ht="23.85" customHeight="1" s="18">
      <c r="A75" s="31" t="n"/>
      <c r="B75" s="31" t="n"/>
      <c r="C75" s="31" t="n"/>
      <c r="D75" s="31" t="n"/>
      <c r="E75" s="31" t="n"/>
      <c r="F75" s="31" t="n"/>
      <c r="G75" s="31">
        <f>IF(F75="","",IFERROR(TRIM(INDEX(Ref_activites_V2!$B$2:$B$131,MATCH(F75,Ref_activites_V2!$A$2:$A$131,0))),"Code inconnu"))</f>
        <v/>
      </c>
      <c r="H75" s="32" t="n"/>
      <c r="I75" s="31" t="n"/>
      <c r="J75" s="24" t="n"/>
      <c r="K75" s="24" t="n"/>
      <c r="L75" s="31">
        <f>IF(K75="","",IFERROR(TRIM(INDEX(Ref_activites_V2!$B$2:$B$131,MATCH(K75,Ref_activites_V2!$A$2:$A$131,0))),"Code inconnu"))</f>
        <v/>
      </c>
      <c r="M75" s="24" t="n"/>
      <c r="N75" s="24" t="n"/>
    </row>
    <row r="76" ht="23.85" customHeight="1" s="18">
      <c r="A76" s="31" t="n"/>
      <c r="B76" s="31" t="n"/>
      <c r="C76" s="31" t="n"/>
      <c r="D76" s="31" t="n"/>
      <c r="E76" s="31" t="n"/>
      <c r="F76" s="31" t="n"/>
      <c r="G76" s="31">
        <f>IF(F76="","",IFERROR(TRIM(INDEX(Ref_activites_V2!$B$2:$B$131,MATCH(F76,Ref_activites_V2!$A$2:$A$131,0))),"Code inconnu"))</f>
        <v/>
      </c>
      <c r="H76" s="32" t="n"/>
      <c r="I76" s="31" t="n"/>
      <c r="J76" s="24" t="n"/>
      <c r="K76" s="24" t="n"/>
      <c r="L76" s="31">
        <f>IF(K76="","",IFERROR(TRIM(INDEX(Ref_activites_V2!$B$2:$B$131,MATCH(K76,Ref_activites_V2!$A$2:$A$131,0))),"Code inconnu"))</f>
        <v/>
      </c>
      <c r="M76" s="24" t="n"/>
      <c r="N76" s="24" t="n"/>
    </row>
    <row r="77" ht="23.85" customHeight="1" s="18">
      <c r="A77" s="31" t="n"/>
      <c r="B77" s="31" t="n"/>
      <c r="C77" s="31" t="n"/>
      <c r="D77" s="31" t="n"/>
      <c r="E77" s="31" t="n"/>
      <c r="F77" s="31" t="n"/>
      <c r="G77" s="31">
        <f>IF(F77="","",IFERROR(TRIM(INDEX(Ref_activites_V2!$B$2:$B$131,MATCH(F77,Ref_activites_V2!$A$2:$A$131,0))),"Code inconnu"))</f>
        <v/>
      </c>
      <c r="H77" s="32" t="n"/>
      <c r="I77" s="31" t="n"/>
      <c r="J77" s="24" t="n"/>
      <c r="K77" s="24" t="n"/>
      <c r="L77" s="31">
        <f>IF(K77="","",IFERROR(TRIM(INDEX(Ref_activites_V2!$B$2:$B$131,MATCH(K77,Ref_activites_V2!$A$2:$A$131,0))),"Code inconnu"))</f>
        <v/>
      </c>
      <c r="M77" s="24" t="n"/>
      <c r="N77" s="24" t="n"/>
    </row>
    <row r="78" ht="23.85" customHeight="1" s="18">
      <c r="A78" s="31" t="n"/>
      <c r="B78" s="31" t="n"/>
      <c r="C78" s="31" t="n"/>
      <c r="D78" s="31" t="n"/>
      <c r="E78" s="31" t="n"/>
      <c r="F78" s="31" t="n"/>
      <c r="G78" s="31">
        <f>IF(F78="","",IFERROR(TRIM(INDEX(Ref_activites_V2!$B$2:$B$131,MATCH(F78,Ref_activites_V2!$A$2:$A$131,0))),"Code inconnu"))</f>
        <v/>
      </c>
      <c r="H78" s="32" t="n"/>
      <c r="I78" s="31" t="n"/>
      <c r="J78" s="24" t="n"/>
      <c r="K78" s="24" t="n"/>
      <c r="L78" s="31">
        <f>IF(K78="","",IFERROR(TRIM(INDEX(Ref_activites_V2!$B$2:$B$131,MATCH(K78,Ref_activites_V2!$A$2:$A$131,0))),"Code inconnu"))</f>
        <v/>
      </c>
      <c r="M78" s="24" t="n"/>
      <c r="N78" s="24" t="n"/>
    </row>
    <row r="79" ht="23.85" customHeight="1" s="18">
      <c r="A79" s="31" t="n"/>
      <c r="B79" s="31" t="n"/>
      <c r="C79" s="31" t="n"/>
      <c r="D79" s="31" t="n"/>
      <c r="E79" s="31" t="n"/>
      <c r="F79" s="31" t="n"/>
      <c r="G79" s="31">
        <f>IF(F79="","",IFERROR(TRIM(INDEX(Ref_activites_V2!$B$2:$B$131,MATCH(F79,Ref_activites_V2!$A$2:$A$131,0))),"Code inconnu"))</f>
        <v/>
      </c>
      <c r="H79" s="32" t="n"/>
      <c r="I79" s="31" t="n"/>
      <c r="J79" s="24" t="n"/>
      <c r="K79" s="24" t="n"/>
      <c r="L79" s="31">
        <f>IF(K79="","",IFERROR(TRIM(INDEX(Ref_activites_V2!$B$2:$B$131,MATCH(K79,Ref_activites_V2!$A$2:$A$131,0))),"Code inconnu"))</f>
        <v/>
      </c>
      <c r="M79" s="24" t="n"/>
      <c r="N79" s="24" t="n"/>
    </row>
    <row r="80" ht="23.85" customHeight="1" s="18">
      <c r="A80" s="31" t="n"/>
      <c r="B80" s="31" t="n"/>
      <c r="C80" s="31" t="n"/>
      <c r="D80" s="31" t="n"/>
      <c r="E80" s="31" t="n"/>
      <c r="F80" s="31" t="n"/>
      <c r="G80" s="31">
        <f>IF(F80="","",IFERROR(TRIM(INDEX(Ref_activites_V2!$B$2:$B$131,MATCH(F80,Ref_activites_V2!$A$2:$A$131,0))),"Code inconnu"))</f>
        <v/>
      </c>
      <c r="H80" s="32" t="n"/>
      <c r="I80" s="31" t="n"/>
      <c r="J80" s="24" t="n"/>
      <c r="K80" s="24" t="n"/>
      <c r="L80" s="31">
        <f>IF(K80="","",IFERROR(TRIM(INDEX(Ref_activites_V2!$B$2:$B$131,MATCH(K80,Ref_activites_V2!$A$2:$A$131,0))),"Code inconnu"))</f>
        <v/>
      </c>
      <c r="M80" s="24" t="n"/>
      <c r="N80" s="24" t="n"/>
    </row>
    <row r="81" ht="23.85" customHeight="1" s="18">
      <c r="A81" s="31" t="n"/>
      <c r="B81" s="31" t="n"/>
      <c r="C81" s="31" t="n"/>
      <c r="D81" s="31" t="n"/>
      <c r="E81" s="31" t="n"/>
      <c r="F81" s="31" t="n"/>
      <c r="G81" s="31">
        <f>IF(F81="","",IFERROR(TRIM(INDEX(Ref_activites_V2!$B$2:$B$131,MATCH(F81,Ref_activites_V2!$A$2:$A$131,0))),"Code inconnu"))</f>
        <v/>
      </c>
      <c r="H81" s="32" t="n"/>
      <c r="I81" s="31" t="n"/>
      <c r="J81" s="24" t="n"/>
      <c r="K81" s="24" t="n"/>
      <c r="L81" s="31">
        <f>IF(K81="","",IFERROR(TRIM(INDEX(Ref_activites_V2!$B$2:$B$131,MATCH(K81,Ref_activites_V2!$A$2:$A$131,0))),"Code inconnu"))</f>
        <v/>
      </c>
      <c r="M81" s="24" t="n"/>
      <c r="N81" s="24" t="n"/>
    </row>
    <row r="82" ht="23.85" customHeight="1" s="18">
      <c r="A82" s="31" t="n"/>
      <c r="B82" s="31" t="n"/>
      <c r="C82" s="31" t="n"/>
      <c r="D82" s="31" t="n"/>
      <c r="E82" s="31" t="n"/>
      <c r="F82" s="31" t="n"/>
      <c r="G82" s="31">
        <f>IF(F82="","",IFERROR(TRIM(INDEX(Ref_activites_V2!$B$2:$B$131,MATCH(F82,Ref_activites_V2!$A$2:$A$131,0))),"Code inconnu"))</f>
        <v/>
      </c>
      <c r="H82" s="32" t="n"/>
      <c r="I82" s="31" t="n"/>
      <c r="J82" s="24" t="n"/>
      <c r="K82" s="24" t="n"/>
      <c r="L82" s="31">
        <f>IF(K82="","",IFERROR(TRIM(INDEX(Ref_activites_V2!$B$2:$B$131,MATCH(K82,Ref_activites_V2!$A$2:$A$131,0))),"Code inconnu"))</f>
        <v/>
      </c>
      <c r="M82" s="24" t="n"/>
      <c r="N82" s="24" t="n"/>
    </row>
    <row r="83" ht="23.85" customHeight="1" s="18">
      <c r="A83" s="31" t="n"/>
      <c r="B83" s="31" t="n"/>
      <c r="C83" s="31" t="n"/>
      <c r="D83" s="31" t="n"/>
      <c r="E83" s="31" t="n"/>
      <c r="F83" s="31" t="n"/>
      <c r="G83" s="31">
        <f>IF(F83="","",IFERROR(TRIM(INDEX(Ref_activites_V2!$B$2:$B$131,MATCH(F83,Ref_activites_V2!$A$2:$A$131,0))),"Code inconnu"))</f>
        <v/>
      </c>
      <c r="H83" s="32" t="n"/>
      <c r="I83" s="31" t="n"/>
      <c r="J83" s="24" t="n"/>
      <c r="K83" s="24" t="n"/>
      <c r="L83" s="31">
        <f>IF(K83="","",IFERROR(TRIM(INDEX(Ref_activites_V2!$B$2:$B$131,MATCH(K83,Ref_activites_V2!$A$2:$A$131,0))),"Code inconnu"))</f>
        <v/>
      </c>
      <c r="M83" s="24" t="n"/>
      <c r="N83" s="24" t="n"/>
    </row>
    <row r="84" ht="23.85" customHeight="1" s="18">
      <c r="A84" s="31" t="n"/>
      <c r="B84" s="31" t="n"/>
      <c r="C84" s="31" t="n"/>
      <c r="D84" s="31" t="n"/>
      <c r="E84" s="31" t="n"/>
      <c r="F84" s="31" t="n"/>
      <c r="G84" s="31">
        <f>IF(F84="","",IFERROR(TRIM(INDEX(Ref_activites_V2!$B$2:$B$131,MATCH(F84,Ref_activites_V2!$A$2:$A$131,0))),"Code inconnu"))</f>
        <v/>
      </c>
      <c r="H84" s="32" t="n"/>
      <c r="I84" s="31" t="n"/>
      <c r="J84" s="24" t="n"/>
      <c r="K84" s="24" t="n"/>
      <c r="L84" s="31">
        <f>IF(K84="","",IFERROR(TRIM(INDEX(Ref_activites_V2!$B$2:$B$131,MATCH(K84,Ref_activites_V2!$A$2:$A$131,0))),"Code inconnu"))</f>
        <v/>
      </c>
      <c r="M84" s="24" t="n"/>
      <c r="N84" s="24" t="n"/>
    </row>
    <row r="85" ht="23.85" customHeight="1" s="18">
      <c r="A85" s="31" t="n"/>
      <c r="B85" s="31" t="n"/>
      <c r="C85" s="31" t="n"/>
      <c r="D85" s="31" t="n"/>
      <c r="E85" s="31" t="n"/>
      <c r="F85" s="31" t="n"/>
      <c r="G85" s="31">
        <f>IF(F85="","",IFERROR(TRIM(INDEX(Ref_activites_V2!$B$2:$B$131,MATCH(F85,Ref_activites_V2!$A$2:$A$131,0))),"Code inconnu"))</f>
        <v/>
      </c>
      <c r="H85" s="32" t="n"/>
      <c r="I85" s="31" t="n"/>
      <c r="J85" s="24" t="n"/>
      <c r="K85" s="24" t="n"/>
      <c r="L85" s="31">
        <f>IF(K85="","",IFERROR(TRIM(INDEX(Ref_activites_V2!$B$2:$B$131,MATCH(K85,Ref_activites_V2!$A$2:$A$131,0))),"Code inconnu"))</f>
        <v/>
      </c>
      <c r="M85" s="24" t="n"/>
      <c r="N85" s="24" t="n"/>
    </row>
    <row r="86" ht="23.85" customHeight="1" s="18">
      <c r="A86" s="31" t="n"/>
      <c r="B86" s="31" t="n"/>
      <c r="C86" s="31" t="n"/>
      <c r="D86" s="31" t="n"/>
      <c r="E86" s="31" t="n"/>
      <c r="F86" s="31" t="n"/>
      <c r="G86" s="31">
        <f>IF(F86="","",IFERROR(TRIM(INDEX(Ref_activites_V2!$B$2:$B$131,MATCH(F86,Ref_activites_V2!$A$2:$A$131,0))),"Code inconnu"))</f>
        <v/>
      </c>
      <c r="H86" s="32" t="n"/>
      <c r="I86" s="31" t="n"/>
      <c r="J86" s="24" t="n"/>
      <c r="K86" s="24" t="n"/>
      <c r="L86" s="31">
        <f>IF(K86="","",IFERROR(TRIM(INDEX(Ref_activites_V2!$B$2:$B$131,MATCH(K86,Ref_activites_V2!$A$2:$A$131,0))),"Code inconnu"))</f>
        <v/>
      </c>
      <c r="M86" s="24" t="n"/>
      <c r="N86" s="24" t="n"/>
    </row>
    <row r="87" ht="23.85" customHeight="1" s="18">
      <c r="A87" s="31" t="n"/>
      <c r="B87" s="31" t="n"/>
      <c r="C87" s="31" t="n"/>
      <c r="D87" s="31" t="n"/>
      <c r="E87" s="31" t="n"/>
      <c r="F87" s="31" t="n"/>
      <c r="G87" s="31">
        <f>IF(F87="","",IFERROR(TRIM(INDEX(Ref_activites_V2!$B$2:$B$131,MATCH(F87,Ref_activites_V2!$A$2:$A$131,0))),"Code inconnu"))</f>
        <v/>
      </c>
      <c r="H87" s="32" t="n"/>
      <c r="I87" s="31" t="n"/>
      <c r="J87" s="24" t="n"/>
      <c r="K87" s="24" t="n"/>
      <c r="L87" s="31">
        <f>IF(K87="","",IFERROR(TRIM(INDEX(Ref_activites_V2!$B$2:$B$131,MATCH(K87,Ref_activites_V2!$A$2:$A$131,0))),"Code inconnu"))</f>
        <v/>
      </c>
      <c r="M87" s="24" t="n"/>
      <c r="N87" s="24" t="n"/>
    </row>
    <row r="88" ht="23.85" customHeight="1" s="18">
      <c r="A88" s="31" t="n"/>
      <c r="B88" s="31" t="n"/>
      <c r="C88" s="31" t="n"/>
      <c r="D88" s="31" t="n"/>
      <c r="E88" s="31" t="n"/>
      <c r="F88" s="31" t="n"/>
      <c r="G88" s="31">
        <f>IF(F88="","",IFERROR(TRIM(INDEX(Ref_activites_V2!$B$2:$B$131,MATCH(F88,Ref_activites_V2!$A$2:$A$131,0))),"Code inconnu"))</f>
        <v/>
      </c>
      <c r="H88" s="32" t="n"/>
      <c r="I88" s="31" t="n"/>
      <c r="J88" s="24" t="n"/>
      <c r="K88" s="24" t="n"/>
      <c r="L88" s="31">
        <f>IF(K88="","",IFERROR(TRIM(INDEX(Ref_activites_V2!$B$2:$B$131,MATCH(K88,Ref_activites_V2!$A$2:$A$131,0))),"Code inconnu"))</f>
        <v/>
      </c>
      <c r="M88" s="24" t="n"/>
      <c r="N88" s="24" t="n"/>
    </row>
    <row r="89" ht="23.85" customHeight="1" s="18">
      <c r="A89" s="31" t="n"/>
      <c r="B89" s="31" t="n"/>
      <c r="C89" s="31" t="n"/>
      <c r="D89" s="31" t="n"/>
      <c r="E89" s="31" t="n"/>
      <c r="F89" s="31" t="n"/>
      <c r="G89" s="31">
        <f>IF(F89="","",IFERROR(TRIM(INDEX(Ref_activites_V2!$B$2:$B$131,MATCH(F89,Ref_activites_V2!$A$2:$A$131,0))),"Code inconnu"))</f>
        <v/>
      </c>
      <c r="H89" s="32" t="n"/>
      <c r="I89" s="31" t="n"/>
      <c r="J89" s="24" t="n"/>
      <c r="K89" s="24" t="n"/>
      <c r="L89" s="31">
        <f>IF(K89="","",IFERROR(TRIM(INDEX(Ref_activites_V2!$B$2:$B$131,MATCH(K89,Ref_activites_V2!$A$2:$A$131,0))),"Code inconnu"))</f>
        <v/>
      </c>
      <c r="M89" s="24" t="n"/>
      <c r="N89" s="24" t="n"/>
    </row>
    <row r="90" ht="23.85" customHeight="1" s="18">
      <c r="A90" s="31" t="n"/>
      <c r="B90" s="31" t="n"/>
      <c r="C90" s="31" t="n"/>
      <c r="D90" s="31" t="n"/>
      <c r="E90" s="31" t="n"/>
      <c r="F90" s="31" t="n"/>
      <c r="G90" s="31">
        <f>IF(F90="","",IFERROR(TRIM(INDEX(Ref_activites_V2!$B$2:$B$131,MATCH(F90,Ref_activites_V2!$A$2:$A$131,0))),"Code inconnu"))</f>
        <v/>
      </c>
      <c r="H90" s="32" t="n"/>
      <c r="I90" s="31" t="n"/>
      <c r="J90" s="24" t="n"/>
      <c r="K90" s="24" t="n"/>
      <c r="L90" s="31">
        <f>IF(K90="","",IFERROR(TRIM(INDEX(Ref_activites_V2!$B$2:$B$131,MATCH(K90,Ref_activites_V2!$A$2:$A$131,0))),"Code inconnu"))</f>
        <v/>
      </c>
      <c r="M90" s="24" t="n"/>
      <c r="N90" s="24" t="n"/>
    </row>
    <row r="91" ht="23.85" customHeight="1" s="18">
      <c r="A91" s="31" t="n"/>
      <c r="B91" s="31" t="n"/>
      <c r="C91" s="31" t="n"/>
      <c r="D91" s="31" t="n"/>
      <c r="E91" s="31" t="n"/>
      <c r="F91" s="31" t="n"/>
      <c r="G91" s="31">
        <f>IF(F91="","",IFERROR(TRIM(INDEX(Ref_activites_V2!$B$2:$B$131,MATCH(F91,Ref_activites_V2!$A$2:$A$131,0))),"Code inconnu"))</f>
        <v/>
      </c>
      <c r="H91" s="32" t="n"/>
      <c r="I91" s="31" t="n"/>
      <c r="J91" s="24" t="n"/>
      <c r="K91" s="24" t="n"/>
      <c r="L91" s="31">
        <f>IF(K91="","",IFERROR(TRIM(INDEX(Ref_activites_V2!$B$2:$B$131,MATCH(K91,Ref_activites_V2!$A$2:$A$131,0))),"Code inconnu"))</f>
        <v/>
      </c>
      <c r="M91" s="24" t="n"/>
      <c r="N91" s="24" t="n"/>
    </row>
    <row r="92" ht="23.85" customHeight="1" s="18">
      <c r="A92" s="31" t="n"/>
      <c r="B92" s="31" t="n"/>
      <c r="C92" s="31" t="n"/>
      <c r="D92" s="31" t="n"/>
      <c r="E92" s="31" t="n"/>
      <c r="F92" s="31" t="n"/>
      <c r="G92" s="31">
        <f>IF(F92="","",IFERROR(TRIM(INDEX(Ref_activites_V2!$B$2:$B$131,MATCH(F92,Ref_activites_V2!$A$2:$A$131,0))),"Code inconnu"))</f>
        <v/>
      </c>
      <c r="H92" s="32" t="n"/>
      <c r="I92" s="31" t="n"/>
      <c r="J92" s="24" t="n"/>
      <c r="K92" s="24" t="n"/>
      <c r="L92" s="31">
        <f>IF(K92="","",IFERROR(TRIM(INDEX(Ref_activites_V2!$B$2:$B$131,MATCH(K92,Ref_activites_V2!$A$2:$A$131,0))),"Code inconnu"))</f>
        <v/>
      </c>
      <c r="M92" s="24" t="n"/>
      <c r="N92" s="24" t="n"/>
    </row>
    <row r="93" ht="23.85" customHeight="1" s="18">
      <c r="A93" s="31" t="n"/>
      <c r="B93" s="31" t="n"/>
      <c r="C93" s="31" t="n"/>
      <c r="D93" s="31" t="n"/>
      <c r="E93" s="31" t="n"/>
      <c r="F93" s="31" t="n"/>
      <c r="G93" s="31">
        <f>IF(F93="","",IFERROR(TRIM(INDEX(Ref_activites_V2!$B$2:$B$131,MATCH(F93,Ref_activites_V2!$A$2:$A$131,0))),"Code inconnu"))</f>
        <v/>
      </c>
      <c r="H93" s="32" t="n"/>
      <c r="I93" s="31" t="n"/>
      <c r="J93" s="24" t="n"/>
      <c r="K93" s="24" t="n"/>
      <c r="L93" s="31">
        <f>IF(K93="","",IFERROR(TRIM(INDEX(Ref_activites_V2!$B$2:$B$131,MATCH(K93,Ref_activites_V2!$A$2:$A$131,0))),"Code inconnu"))</f>
        <v/>
      </c>
      <c r="M93" s="24" t="n"/>
      <c r="N93" s="24" t="n"/>
    </row>
    <row r="94" ht="23.85" customHeight="1" s="18">
      <c r="A94" s="31" t="n"/>
      <c r="B94" s="31" t="n"/>
      <c r="C94" s="31" t="n"/>
      <c r="D94" s="31" t="n"/>
      <c r="E94" s="31" t="n"/>
      <c r="F94" s="31" t="n"/>
      <c r="G94" s="31">
        <f>IF(F94="","",IFERROR(TRIM(INDEX(Ref_activites_V2!$B$2:$B$131,MATCH(F94,Ref_activites_V2!$A$2:$A$131,0))),"Code inconnu"))</f>
        <v/>
      </c>
      <c r="H94" s="32" t="n"/>
      <c r="I94" s="31" t="n"/>
      <c r="J94" s="24" t="n"/>
      <c r="K94" s="24" t="n"/>
      <c r="L94" s="31">
        <f>IF(K94="","",IFERROR(TRIM(INDEX(Ref_activites_V2!$B$2:$B$131,MATCH(K94,Ref_activites_V2!$A$2:$A$131,0))),"Code inconnu"))</f>
        <v/>
      </c>
      <c r="M94" s="24" t="n"/>
      <c r="N94" s="24" t="n"/>
    </row>
    <row r="95" ht="23.85" customHeight="1" s="18">
      <c r="A95" s="31" t="n"/>
      <c r="B95" s="31" t="n"/>
      <c r="C95" s="31" t="n"/>
      <c r="D95" s="31" t="n"/>
      <c r="E95" s="31" t="n"/>
      <c r="F95" s="31" t="n"/>
      <c r="G95" s="31">
        <f>IF(F95="","",IFERROR(TRIM(INDEX(Ref_activites_V2!$B$2:$B$131,MATCH(F95,Ref_activites_V2!$A$2:$A$131,0))),"Code inconnu"))</f>
        <v/>
      </c>
      <c r="H95" s="32" t="n"/>
      <c r="I95" s="31" t="n"/>
      <c r="J95" s="24" t="n"/>
      <c r="K95" s="24" t="n"/>
      <c r="L95" s="31">
        <f>IF(K95="","",IFERROR(TRIM(INDEX(Ref_activites_V2!$B$2:$B$131,MATCH(K95,Ref_activites_V2!$A$2:$A$131,0))),"Code inconnu"))</f>
        <v/>
      </c>
      <c r="M95" s="24" t="n"/>
      <c r="N95" s="24" t="n"/>
    </row>
    <row r="96" ht="23.85" customHeight="1" s="18">
      <c r="A96" s="31" t="n"/>
      <c r="B96" s="31" t="n"/>
      <c r="C96" s="31" t="n"/>
      <c r="D96" s="31" t="n"/>
      <c r="E96" s="31" t="n"/>
      <c r="F96" s="31" t="n"/>
      <c r="G96" s="31">
        <f>IF(F96="","",IFERROR(TRIM(INDEX(Ref_activites_V2!$B$2:$B$131,MATCH(F96,Ref_activites_V2!$A$2:$A$131,0))),"Code inconnu"))</f>
        <v/>
      </c>
      <c r="H96" s="32" t="n"/>
      <c r="I96" s="31" t="n"/>
      <c r="J96" s="24" t="n"/>
      <c r="K96" s="24" t="n"/>
      <c r="L96" s="31">
        <f>IF(K96="","",IFERROR(TRIM(INDEX(Ref_activites_V2!$B$2:$B$131,MATCH(K96,Ref_activites_V2!$A$2:$A$131,0))),"Code inconnu"))</f>
        <v/>
      </c>
      <c r="M96" s="24" t="n"/>
      <c r="N96" s="24" t="n"/>
    </row>
    <row r="97" ht="23.85" customHeight="1" s="18">
      <c r="A97" s="31" t="n"/>
      <c r="B97" s="31" t="n"/>
      <c r="C97" s="31" t="n"/>
      <c r="D97" s="31" t="n"/>
      <c r="E97" s="31" t="n"/>
      <c r="F97" s="31" t="n"/>
      <c r="G97" s="31">
        <f>IF(F97="","",IFERROR(TRIM(INDEX(Ref_activites_V2!$B$2:$B$131,MATCH(F97,Ref_activites_V2!$A$2:$A$131,0))),"Code inconnu"))</f>
        <v/>
      </c>
      <c r="H97" s="32" t="n"/>
      <c r="I97" s="31" t="n"/>
      <c r="J97" s="24" t="n"/>
      <c r="K97" s="24" t="n"/>
      <c r="L97" s="31">
        <f>IF(K97="","",IFERROR(TRIM(INDEX(Ref_activites_V2!$B$2:$B$131,MATCH(K97,Ref_activites_V2!$A$2:$A$131,0))),"Code inconnu"))</f>
        <v/>
      </c>
      <c r="M97" s="24" t="n"/>
      <c r="N97" s="24" t="n"/>
    </row>
    <row r="98" ht="23.85" customHeight="1" s="18">
      <c r="A98" s="31" t="n"/>
      <c r="B98" s="31" t="n"/>
      <c r="C98" s="31" t="n"/>
      <c r="D98" s="31" t="n"/>
      <c r="E98" s="31" t="n"/>
      <c r="F98" s="31" t="n"/>
      <c r="G98" s="31">
        <f>IF(F98="","",IFERROR(TRIM(INDEX(Ref_activites_V2!$B$2:$B$131,MATCH(F98,Ref_activites_V2!$A$2:$A$131,0))),"Code inconnu"))</f>
        <v/>
      </c>
      <c r="H98" s="32" t="n"/>
      <c r="I98" s="31" t="n"/>
      <c r="J98" s="24" t="n"/>
      <c r="K98" s="24" t="n"/>
      <c r="L98" s="31">
        <f>IF(K98="","",IFERROR(TRIM(INDEX(Ref_activites_V2!$B$2:$B$131,MATCH(K98,Ref_activites_V2!$A$2:$A$131,0))),"Code inconnu"))</f>
        <v/>
      </c>
      <c r="M98" s="24" t="n"/>
      <c r="N98" s="24" t="n"/>
    </row>
    <row r="99" ht="23.85" customHeight="1" s="18">
      <c r="A99" s="31" t="n"/>
      <c r="B99" s="31" t="n"/>
      <c r="C99" s="31" t="n"/>
      <c r="D99" s="31" t="n"/>
      <c r="E99" s="31" t="n"/>
      <c r="F99" s="31" t="n"/>
      <c r="G99" s="31">
        <f>IF(F99="","",IFERROR(TRIM(INDEX(Ref_activites_V2!$B$2:$B$131,MATCH(F99,Ref_activites_V2!$A$2:$A$131,0))),"Code inconnu"))</f>
        <v/>
      </c>
      <c r="H99" s="32" t="n"/>
      <c r="I99" s="31" t="n"/>
      <c r="J99" s="24" t="n"/>
      <c r="K99" s="24" t="n"/>
      <c r="L99" s="31">
        <f>IF(K99="","",IFERROR(TRIM(INDEX(Ref_activites_V2!$B$2:$B$131,MATCH(K99,Ref_activites_V2!$A$2:$A$131,0))),"Code inconnu"))</f>
        <v/>
      </c>
      <c r="M99" s="24" t="n"/>
      <c r="N99" s="24" t="n"/>
    </row>
    <row r="100" ht="23.85" customHeight="1" s="18">
      <c r="A100" s="31" t="n"/>
      <c r="B100" s="31" t="n"/>
      <c r="C100" s="31" t="n"/>
      <c r="D100" s="31" t="n"/>
      <c r="E100" s="31" t="n"/>
      <c r="F100" s="31" t="n"/>
      <c r="G100" s="31">
        <f>IF(F100="","",IFERROR(TRIM(INDEX(Ref_activites_V2!$B$2:$B$131,MATCH(F100,Ref_activites_V2!$A$2:$A$131,0))),"Code inconnu"))</f>
        <v/>
      </c>
      <c r="H100" s="32" t="n"/>
      <c r="I100" s="31" t="n"/>
      <c r="J100" s="24" t="n"/>
      <c r="K100" s="24" t="n"/>
      <c r="L100" s="31">
        <f>IF(K100="","",IFERROR(TRIM(INDEX(Ref_activites_V2!$B$2:$B$131,MATCH(K100,Ref_activites_V2!$A$2:$A$131,0))),"Code inconnu"))</f>
        <v/>
      </c>
      <c r="M100" s="24" t="n"/>
      <c r="N100" s="24" t="n"/>
    </row>
    <row r="101" ht="23.85" customHeight="1" s="18">
      <c r="A101" s="31" t="n"/>
      <c r="B101" s="31" t="n"/>
      <c r="C101" s="31" t="n"/>
      <c r="D101" s="31" t="n"/>
      <c r="E101" s="31" t="n"/>
      <c r="F101" s="31" t="n"/>
      <c r="G101" s="31">
        <f>IF(F101="","",IFERROR(TRIM(INDEX(Ref_activites_V2!$B$2:$B$131,MATCH(F101,Ref_activites_V2!$A$2:$A$131,0))),"Code inconnu"))</f>
        <v/>
      </c>
      <c r="H101" s="32" t="n"/>
      <c r="I101" s="31" t="n"/>
      <c r="J101" s="24" t="n"/>
      <c r="K101" s="24" t="n"/>
      <c r="L101" s="31">
        <f>IF(K101="","",IFERROR(TRIM(INDEX(Ref_activites_V2!$B$2:$B$131,MATCH(K101,Ref_activites_V2!$A$2:$A$131,0))),"Code inconnu"))</f>
        <v/>
      </c>
      <c r="M101" s="24" t="n"/>
      <c r="N101" s="24" t="n"/>
    </row>
    <row r="102" ht="23.85" customHeight="1" s="18">
      <c r="A102" s="31" t="n"/>
      <c r="B102" s="31" t="n"/>
      <c r="C102" s="31" t="n"/>
      <c r="D102" s="31" t="n"/>
      <c r="E102" s="31" t="n"/>
      <c r="F102" s="31" t="n"/>
      <c r="G102" s="31">
        <f>IF(F102="","",IFERROR(TRIM(INDEX(Ref_activites_V2!$B$2:$B$131,MATCH(F102,Ref_activites_V2!$A$2:$A$131,0))),"Code inconnu"))</f>
        <v/>
      </c>
      <c r="H102" s="32" t="n"/>
      <c r="I102" s="31" t="n"/>
      <c r="J102" s="24" t="n"/>
      <c r="K102" s="24" t="n"/>
      <c r="L102" s="31">
        <f>IF(K102="","",IFERROR(TRIM(INDEX(Ref_activites_V2!$B$2:$B$131,MATCH(K102,Ref_activites_V2!$A$2:$A$131,0))),"Code inconnu"))</f>
        <v/>
      </c>
      <c r="M102" s="24" t="n"/>
      <c r="N102" s="24" t="n"/>
    </row>
  </sheetData>
  <autoFilter ref="A2:N102"/>
  <mergeCells count="2">
    <mergeCell ref="A1:I1"/>
    <mergeCell ref="J1:N1"/>
  </mergeCells>
  <dataValidations count="3">
    <dataValidation sqref="K3:K102" showDropDown="0" showInputMessage="0" showErrorMessage="1" allowBlank="1" errorTitle="Code inconnu" error="Choisir un code du référentiel V2." type="list" errorStyle="stop" operator="between">
      <formula1>Ref_activites_V2!$A$2:$A$131</formula1>
      <formula2>0</formula2>
    </dataValidation>
    <dataValidation sqref="J3:J102" showDropDown="0" showInputMessage="0" showErrorMessage="0" allowBlank="1" type="list" errorStyle="stop" operator="between">
      <formula1>"Validé,Modifié,Sans équivalent,À exclure"</formula1>
      <formula2>0</formula2>
    </dataValidation>
    <dataValidation sqref="M3:M102" showDropDown="0" showInputMessage="0" showErrorMessage="0" allowBlank="1" type="list" errorStyle="stop" operator="between">
      <formula1>"Une seule activité retenue,Répartition de l'intensité,Duplication de la colonne,Sans objet"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7" min="1" max="1"/>
    <col width="70" customWidth="1" style="17" min="2" max="2"/>
    <col width="8" customWidth="1" style="17" min="3" max="3"/>
    <col width="12" customWidth="1" style="17" min="4" max="4"/>
    <col width="15" customWidth="1" style="17" min="5" max="5"/>
    <col width="18" customWidth="1" style="17" min="6" max="6"/>
  </cols>
  <sheetData>
    <row r="1" ht="15" customHeight="1" s="18">
      <c r="A1" s="22" t="inlineStr">
        <is>
          <t>Code_P</t>
        </is>
      </c>
      <c r="B1" s="22" t="inlineStr">
        <is>
          <t>Nom de la pression (indenté par niveau)</t>
        </is>
      </c>
      <c r="C1" s="22" t="inlineStr">
        <is>
          <t>Niveau</t>
        </is>
      </c>
      <c r="D1" s="22" t="inlineStr">
        <is>
          <t>Parent</t>
        </is>
      </c>
      <c r="E1" s="22" t="inlineStr">
        <is>
          <t>Type</t>
        </is>
      </c>
      <c r="F1" s="22" t="inlineStr">
        <is>
          <t>Évaluée dans le fichier Baie de Seine</t>
        </is>
      </c>
    </row>
    <row r="2" ht="15" customHeight="1" s="18">
      <c r="A2" s="34" t="inlineStr">
        <is>
          <t>Pr_P1</t>
        </is>
      </c>
      <c r="B2" s="34" t="inlineStr">
        <is>
          <t>Physiques</t>
        </is>
      </c>
      <c r="C2" s="34" t="n">
        <v>1</v>
      </c>
      <c r="D2" s="34" t="n"/>
      <c r="E2" s="34" t="inlineStr">
        <is>
          <t>Nœud composé</t>
        </is>
      </c>
      <c r="F2" s="34" t="inlineStr">
        <is>
          <t>Oui</t>
        </is>
      </c>
    </row>
    <row r="3" ht="15" customHeight="1" s="18">
      <c r="A3" s="34" t="inlineStr">
        <is>
          <t>Pr_P1_1</t>
        </is>
      </c>
      <c r="B3" s="34" t="inlineStr">
        <is>
          <t xml:space="preserve">  Perte physique permanente de l'habitat naturel ou semi-naturel</t>
        </is>
      </c>
      <c r="C3" s="34" t="n">
        <v>2</v>
      </c>
      <c r="D3" s="34" t="inlineStr">
        <is>
          <t>Pr_P1</t>
        </is>
      </c>
      <c r="E3" s="34" t="inlineStr">
        <is>
          <t>Feuille</t>
        </is>
      </c>
      <c r="F3" s="34" t="inlineStr">
        <is>
          <t>Oui</t>
        </is>
      </c>
    </row>
    <row r="4" ht="15" customHeight="1" s="18">
      <c r="A4" s="34" t="inlineStr">
        <is>
          <t>Pr_P1_2</t>
        </is>
      </c>
      <c r="B4" s="34" t="inlineStr">
        <is>
          <t xml:space="preserve">  Modification permanente de type d'habitat naturel ou semi-naturel</t>
        </is>
      </c>
      <c r="C4" s="34" t="n">
        <v>2</v>
      </c>
      <c r="D4" s="34" t="inlineStr">
        <is>
          <t>Pr_P1</t>
        </is>
      </c>
      <c r="E4" s="34" t="inlineStr">
        <is>
          <t>Feuille</t>
        </is>
      </c>
      <c r="F4" s="34" t="inlineStr">
        <is>
          <t>Oui</t>
        </is>
      </c>
    </row>
    <row r="5" ht="15" customHeight="1" s="18">
      <c r="A5" s="34" t="inlineStr">
        <is>
          <t>Pr_P1_3</t>
        </is>
      </c>
      <c r="B5" s="34" t="inlineStr">
        <is>
          <t xml:space="preserve">  Perturbation physique temporaire du substrat (eg. sol, fond marin)</t>
        </is>
      </c>
      <c r="C5" s="34" t="n">
        <v>2</v>
      </c>
      <c r="D5" s="34" t="inlineStr">
        <is>
          <t>Pr_P1</t>
        </is>
      </c>
      <c r="E5" s="34" t="inlineStr">
        <is>
          <t>Nœud composé</t>
        </is>
      </c>
      <c r="F5" s="34" t="inlineStr">
        <is>
          <t>Oui</t>
        </is>
      </c>
    </row>
    <row r="6" ht="15" customHeight="1" s="18">
      <c r="A6" s="34" t="inlineStr">
        <is>
          <t>Pr_P1_3_1</t>
        </is>
      </c>
      <c r="B6" s="34" t="inlineStr">
        <is>
          <t xml:space="preserve">    Abrasion du substrat</t>
        </is>
      </c>
      <c r="C6" s="34" t="n">
        <v>3</v>
      </c>
      <c r="D6" s="34" t="inlineStr">
        <is>
          <t>Pr_P1_3</t>
        </is>
      </c>
      <c r="E6" s="34" t="inlineStr">
        <is>
          <t>Nœud composé</t>
        </is>
      </c>
      <c r="F6" s="34" t="inlineStr">
        <is>
          <t>Oui</t>
        </is>
      </c>
    </row>
    <row r="7" ht="15" customHeight="1" s="18">
      <c r="A7" s="34" t="inlineStr">
        <is>
          <t>Pr_P1_3_1_1</t>
        </is>
      </c>
      <c r="B7" s="34" t="inlineStr">
        <is>
          <t xml:space="preserve">      Abrasion superficielle du substrat</t>
        </is>
      </c>
      <c r="C7" s="34" t="n">
        <v>4</v>
      </c>
      <c r="D7" s="34" t="inlineStr">
        <is>
          <t>Pr_P1_3_1</t>
        </is>
      </c>
      <c r="E7" s="34" t="inlineStr">
        <is>
          <t>Feuille</t>
        </is>
      </c>
      <c r="F7" s="34" t="inlineStr">
        <is>
          <t>Oui</t>
        </is>
      </c>
    </row>
    <row r="8" ht="15" customHeight="1" s="18">
      <c r="A8" s="34" t="inlineStr">
        <is>
          <t>Pr_P1_3_1_2</t>
        </is>
      </c>
      <c r="B8" s="34" t="inlineStr">
        <is>
          <t xml:space="preserve">      Abrasion peu-profonde du substrat</t>
        </is>
      </c>
      <c r="C8" s="34" t="n">
        <v>4</v>
      </c>
      <c r="D8" s="34" t="inlineStr">
        <is>
          <t>Pr_P1_3_1</t>
        </is>
      </c>
      <c r="E8" s="34" t="inlineStr">
        <is>
          <t>Feuille</t>
        </is>
      </c>
      <c r="F8" s="34" t="inlineStr">
        <is>
          <t>Oui</t>
        </is>
      </c>
    </row>
    <row r="9" ht="15" customHeight="1" s="18">
      <c r="A9" s="34" t="inlineStr">
        <is>
          <t>Pr_P1_3_1_3</t>
        </is>
      </c>
      <c r="B9" s="34" t="inlineStr">
        <is>
          <t xml:space="preserve">      Abrasion profonde du substrat</t>
        </is>
      </c>
      <c r="C9" s="34" t="n">
        <v>4</v>
      </c>
      <c r="D9" s="34" t="inlineStr">
        <is>
          <t>Pr_P1_3_1</t>
        </is>
      </c>
      <c r="E9" s="34" t="inlineStr">
        <is>
          <t>Feuille</t>
        </is>
      </c>
      <c r="F9" s="34" t="inlineStr">
        <is>
          <t>Oui</t>
        </is>
      </c>
    </row>
    <row r="10" ht="15" customHeight="1" s="18">
      <c r="A10" s="34" t="inlineStr">
        <is>
          <t>Pr_P1_3_2</t>
        </is>
      </c>
      <c r="B10" s="34" t="inlineStr">
        <is>
          <t xml:space="preserve">    Extraction du substrat</t>
        </is>
      </c>
      <c r="C10" s="34" t="n">
        <v>3</v>
      </c>
      <c r="D10" s="34" t="inlineStr">
        <is>
          <t>Pr_P1_3</t>
        </is>
      </c>
      <c r="E10" s="34" t="inlineStr">
        <is>
          <t>Feuille</t>
        </is>
      </c>
      <c r="F10" s="34" t="inlineStr">
        <is>
          <t>Oui</t>
        </is>
      </c>
    </row>
    <row r="11" ht="15" customHeight="1" s="18">
      <c r="A11" s="34" t="inlineStr">
        <is>
          <t>Pr_P1_3_3</t>
        </is>
      </c>
      <c r="B11" s="34" t="inlineStr">
        <is>
          <t xml:space="preserve">    Compression verticale du substrat</t>
        </is>
      </c>
      <c r="C11" s="34" t="n">
        <v>3</v>
      </c>
      <c r="D11" s="34" t="inlineStr">
        <is>
          <t>Pr_P1_3</t>
        </is>
      </c>
      <c r="E11" s="34" t="inlineStr">
        <is>
          <t>Feuille</t>
        </is>
      </c>
      <c r="F11" s="34" t="inlineStr">
        <is>
          <t>Oui</t>
        </is>
      </c>
    </row>
    <row r="12" ht="15" customHeight="1" s="18">
      <c r="A12" s="34" t="inlineStr">
        <is>
          <t>Pr_P1_3_4</t>
        </is>
      </c>
      <c r="B12" s="34" t="inlineStr">
        <is>
          <t xml:space="preserve">    Remaniement du substrat</t>
        </is>
      </c>
      <c r="C12" s="34" t="n">
        <v>3</v>
      </c>
      <c r="D12" s="34" t="inlineStr">
        <is>
          <t>Pr_P1_3</t>
        </is>
      </c>
      <c r="E12" s="34" t="inlineStr">
        <is>
          <t>Feuille</t>
        </is>
      </c>
      <c r="F12" s="34" t="inlineStr">
        <is>
          <t>Oui</t>
        </is>
      </c>
    </row>
    <row r="13" ht="15" customHeight="1" s="18">
      <c r="A13" s="34" t="inlineStr">
        <is>
          <t>Pr_P1_3_5</t>
        </is>
      </c>
      <c r="B13" s="34" t="inlineStr">
        <is>
          <t xml:space="preserve">    Dépôt de matériel sur le substrat</t>
        </is>
      </c>
      <c r="C13" s="34" t="n">
        <v>3</v>
      </c>
      <c r="D13" s="34" t="inlineStr">
        <is>
          <t>Pr_P1_3</t>
        </is>
      </c>
      <c r="E13" s="34" t="inlineStr">
        <is>
          <t>Nœud composé</t>
        </is>
      </c>
      <c r="F13" s="34" t="inlineStr">
        <is>
          <t>Oui</t>
        </is>
      </c>
    </row>
    <row r="14" ht="15" customHeight="1" s="18">
      <c r="A14" s="34" t="inlineStr">
        <is>
          <t>Pr_P1_3_5_1</t>
        </is>
      </c>
      <c r="B14" s="34" t="inlineStr">
        <is>
          <t xml:space="preserve">      Dépôt faible de matériel sur le substrat</t>
        </is>
      </c>
      <c r="C14" s="34" t="n">
        <v>4</v>
      </c>
      <c r="D14" s="34" t="inlineStr">
        <is>
          <t>Pr_P1_3_5</t>
        </is>
      </c>
      <c r="E14" s="34" t="inlineStr">
        <is>
          <t>Feuille</t>
        </is>
      </c>
      <c r="F14" s="34" t="inlineStr">
        <is>
          <t>Oui</t>
        </is>
      </c>
    </row>
    <row r="15" ht="15" customHeight="1" s="18">
      <c r="A15" s="34" t="inlineStr">
        <is>
          <t>Pr_P1_3_5_2</t>
        </is>
      </c>
      <c r="B15" s="34" t="inlineStr">
        <is>
          <t xml:space="preserve">      Dépôt important de matériel sur le substrat</t>
        </is>
      </c>
      <c r="C15" s="34" t="n">
        <v>4</v>
      </c>
      <c r="D15" s="34" t="inlineStr">
        <is>
          <t>Pr_P1_3_5</t>
        </is>
      </c>
      <c r="E15" s="34" t="inlineStr">
        <is>
          <t>Feuille</t>
        </is>
      </c>
      <c r="F15" s="34" t="inlineStr">
        <is>
          <t>Oui</t>
        </is>
      </c>
    </row>
    <row r="16" ht="15" customHeight="1" s="18">
      <c r="A16" s="34" t="inlineStr">
        <is>
          <t>Pr_P1_4</t>
        </is>
      </c>
      <c r="B16" s="34" t="inlineStr">
        <is>
          <t xml:space="preserve">  Interaction avec les espèces sauvages</t>
        </is>
      </c>
      <c r="C16" s="34" t="n">
        <v>2</v>
      </c>
      <c r="D16" s="34" t="inlineStr">
        <is>
          <t>Pr_P1</t>
        </is>
      </c>
      <c r="E16" s="34" t="inlineStr">
        <is>
          <t>Nœud composé</t>
        </is>
      </c>
      <c r="F16" s="34" t="inlineStr">
        <is>
          <t>Non</t>
        </is>
      </c>
    </row>
    <row r="17" ht="15" customHeight="1" s="18">
      <c r="A17" s="34" t="inlineStr">
        <is>
          <t>Pr_P1_4_1</t>
        </is>
      </c>
      <c r="B17" s="34" t="inlineStr">
        <is>
          <t xml:space="preserve">    Obstacle au mouvement des espèces sauvages</t>
        </is>
      </c>
      <c r="C17" s="34" t="n">
        <v>3</v>
      </c>
      <c r="D17" s="34" t="inlineStr">
        <is>
          <t>Pr_P1_4</t>
        </is>
      </c>
      <c r="E17" s="34" t="inlineStr">
        <is>
          <t>Feuille</t>
        </is>
      </c>
      <c r="F17" s="34" t="inlineStr">
        <is>
          <t>Non</t>
        </is>
      </c>
    </row>
    <row r="18" ht="15" customHeight="1" s="18">
      <c r="A18" s="34" t="inlineStr">
        <is>
          <t>Pr_P1_4_2</t>
        </is>
      </c>
      <c r="B18" s="34" t="inlineStr">
        <is>
          <t xml:space="preserve">    Dérangement des espèces sauvages</t>
        </is>
      </c>
      <c r="C18" s="34" t="n">
        <v>3</v>
      </c>
      <c r="D18" s="34" t="inlineStr">
        <is>
          <t>Pr_P1_4</t>
        </is>
      </c>
      <c r="E18" s="34" t="inlineStr">
        <is>
          <t>Feuille</t>
        </is>
      </c>
      <c r="F18" s="34" t="inlineStr">
        <is>
          <t>Non</t>
        </is>
      </c>
    </row>
    <row r="19" ht="15" customHeight="1" s="18">
      <c r="A19" s="34" t="inlineStr">
        <is>
          <t>Pr_P1_4_3</t>
        </is>
      </c>
      <c r="B19" s="34" t="inlineStr">
        <is>
          <t xml:space="preserve">    Interaction physique non intentionnelle avec des espèces sauvages</t>
        </is>
      </c>
      <c r="C19" s="34" t="n">
        <v>3</v>
      </c>
      <c r="D19" s="34" t="inlineStr">
        <is>
          <t>Pr_P1_4</t>
        </is>
      </c>
      <c r="E19" s="34" t="inlineStr">
        <is>
          <t>Feuille</t>
        </is>
      </c>
      <c r="F19" s="34" t="inlineStr">
        <is>
          <t>Non</t>
        </is>
      </c>
    </row>
    <row r="20" ht="15" customHeight="1" s="18">
      <c r="A20" s="34" t="inlineStr">
        <is>
          <t>Pr_P1_4_4</t>
        </is>
      </c>
      <c r="B20" s="34" t="inlineStr">
        <is>
          <t xml:space="preserve">    Prélèvement d'espèces sauvages</t>
        </is>
      </c>
      <c r="C20" s="34" t="n">
        <v>3</v>
      </c>
      <c r="D20" s="34" t="inlineStr">
        <is>
          <t>Pr_P1_4</t>
        </is>
      </c>
      <c r="E20" s="34" t="inlineStr">
        <is>
          <t>Feuille</t>
        </is>
      </c>
      <c r="F20" s="34" t="inlineStr">
        <is>
          <t>Non</t>
        </is>
      </c>
    </row>
    <row r="21" ht="15" customHeight="1" s="18">
      <c r="A21" s="34" t="inlineStr">
        <is>
          <t>Pr_P2</t>
        </is>
      </c>
      <c r="B21" s="34" t="inlineStr">
        <is>
          <t>Pollutions et modifications physico-chimiques</t>
        </is>
      </c>
      <c r="C21" s="34" t="n">
        <v>1</v>
      </c>
      <c r="D21" s="34" t="n"/>
      <c r="E21" s="34" t="inlineStr">
        <is>
          <t>Nœud composé</t>
        </is>
      </c>
      <c r="F21" s="34" t="inlineStr">
        <is>
          <t>Non</t>
        </is>
      </c>
    </row>
    <row r="22" ht="15" customHeight="1" s="18">
      <c r="A22" s="34" t="inlineStr">
        <is>
          <t>Pr_P2_1</t>
        </is>
      </c>
      <c r="B22" s="34" t="inlineStr">
        <is>
          <t xml:space="preserve">  Modifications hydrologiques</t>
        </is>
      </c>
      <c r="C22" s="34" t="n">
        <v>2</v>
      </c>
      <c r="D22" s="34" t="inlineStr">
        <is>
          <t>Pr_P2</t>
        </is>
      </c>
      <c r="E22" s="34" t="inlineStr">
        <is>
          <t>Nœud composé</t>
        </is>
      </c>
      <c r="F22" s="34" t="inlineStr">
        <is>
          <t>Non</t>
        </is>
      </c>
    </row>
    <row r="23" ht="15" customHeight="1" s="18">
      <c r="A23" s="34" t="inlineStr">
        <is>
          <t>Pr_P2_1_1</t>
        </is>
      </c>
      <c r="B23" s="34" t="inlineStr">
        <is>
          <t xml:space="preserve">    Modification des conditions hydrodynamiques</t>
        </is>
      </c>
      <c r="C23" s="34" t="n">
        <v>3</v>
      </c>
      <c r="D23" s="34" t="inlineStr">
        <is>
          <t>Pr_P2_1</t>
        </is>
      </c>
      <c r="E23" s="34" t="inlineStr">
        <is>
          <t>Feuille</t>
        </is>
      </c>
      <c r="F23" s="34" t="inlineStr">
        <is>
          <t>Non</t>
        </is>
      </c>
    </row>
    <row r="24" ht="15" customHeight="1" s="18">
      <c r="A24" s="34" t="inlineStr">
        <is>
          <t>Pr_P2_1_2</t>
        </is>
      </c>
      <c r="B24" s="34" t="inlineStr">
        <is>
          <t xml:space="preserve">    Modification de la charge en particules</t>
        </is>
      </c>
      <c r="C24" s="34" t="n">
        <v>3</v>
      </c>
      <c r="D24" s="34" t="inlineStr">
        <is>
          <t>Pr_P2_1</t>
        </is>
      </c>
      <c r="E24" s="34" t="inlineStr">
        <is>
          <t>Feuille</t>
        </is>
      </c>
      <c r="F24" s="34" t="inlineStr">
        <is>
          <t>Non</t>
        </is>
      </c>
    </row>
    <row r="25" ht="15" customHeight="1" s="18">
      <c r="A25" s="34" t="inlineStr">
        <is>
          <t>Pr_P2_2</t>
        </is>
      </c>
      <c r="B25" s="34" t="inlineStr">
        <is>
          <t xml:space="preserve">  Modifications des paramètres physico-chimiques du milieu</t>
        </is>
      </c>
      <c r="C25" s="34" t="n">
        <v>2</v>
      </c>
      <c r="D25" s="34" t="inlineStr">
        <is>
          <t>Pr_P2</t>
        </is>
      </c>
      <c r="E25" s="34" t="inlineStr">
        <is>
          <t>Nœud composé</t>
        </is>
      </c>
      <c r="F25" s="34" t="inlineStr">
        <is>
          <t>Non</t>
        </is>
      </c>
    </row>
    <row r="26" ht="15" customHeight="1" s="18">
      <c r="A26" s="34" t="inlineStr">
        <is>
          <t>Pr_P2_2_1</t>
        </is>
      </c>
      <c r="B26" s="34" t="inlineStr">
        <is>
          <t xml:space="preserve">    Modification de la salinité du milieu</t>
        </is>
      </c>
      <c r="C26" s="34" t="n">
        <v>3</v>
      </c>
      <c r="D26" s="34" t="inlineStr">
        <is>
          <t>Pr_P2_2</t>
        </is>
      </c>
      <c r="E26" s="34" t="inlineStr">
        <is>
          <t>Feuille</t>
        </is>
      </c>
      <c r="F26" s="34" t="inlineStr">
        <is>
          <t>Non</t>
        </is>
      </c>
    </row>
    <row r="27" ht="15" customHeight="1" s="18">
      <c r="A27" s="34" t="inlineStr">
        <is>
          <t>Pr_P2_2_2</t>
        </is>
      </c>
      <c r="B27" s="34" t="inlineStr">
        <is>
          <t xml:space="preserve">    Modification de la température du milieu</t>
        </is>
      </c>
      <c r="C27" s="34" t="n">
        <v>3</v>
      </c>
      <c r="D27" s="34" t="inlineStr">
        <is>
          <t>Pr_P2_2</t>
        </is>
      </c>
      <c r="E27" s="34" t="inlineStr">
        <is>
          <t>Feuille</t>
        </is>
      </c>
      <c r="F27" s="34" t="inlineStr">
        <is>
          <t>Non</t>
        </is>
      </c>
    </row>
    <row r="28" ht="15" customHeight="1" s="18">
      <c r="A28" s="34" t="inlineStr">
        <is>
          <t>Pr_P2_2_4</t>
        </is>
      </c>
      <c r="B28" s="34" t="inlineStr">
        <is>
          <t xml:space="preserve">    Modification du pH du milieu</t>
        </is>
      </c>
      <c r="C28" s="34" t="n">
        <v>3</v>
      </c>
      <c r="D28" s="34" t="inlineStr">
        <is>
          <t>Pr_P2_2</t>
        </is>
      </c>
      <c r="E28" s="34" t="inlineStr">
        <is>
          <t>Feuille</t>
        </is>
      </c>
      <c r="F28" s="34" t="inlineStr">
        <is>
          <t>Non</t>
        </is>
      </c>
    </row>
    <row r="29" ht="15" customHeight="1" s="18">
      <c r="A29" s="34" t="inlineStr">
        <is>
          <t>Pr_P2_2_5</t>
        </is>
      </c>
      <c r="B29" s="34" t="inlineStr">
        <is>
          <t xml:space="preserve">    Modifications des apports en nutriments dans le milieu</t>
        </is>
      </c>
      <c r="C29" s="34" t="n">
        <v>3</v>
      </c>
      <c r="D29" s="34" t="inlineStr">
        <is>
          <t>Pr_P2_2</t>
        </is>
      </c>
      <c r="E29" s="34" t="inlineStr">
        <is>
          <t>Feuille</t>
        </is>
      </c>
      <c r="F29" s="34" t="inlineStr">
        <is>
          <t>Non</t>
        </is>
      </c>
    </row>
    <row r="30" ht="15" customHeight="1" s="18">
      <c r="A30" s="34" t="inlineStr">
        <is>
          <t>Pr_P2_2_6</t>
        </is>
      </c>
      <c r="B30" s="34" t="inlineStr">
        <is>
          <t xml:space="preserve">    Modification des apports en matériel organique dans le milieu</t>
        </is>
      </c>
      <c r="C30" s="34" t="n">
        <v>3</v>
      </c>
      <c r="D30" s="34" t="inlineStr">
        <is>
          <t>Pr_P2_2</t>
        </is>
      </c>
      <c r="E30" s="34" t="inlineStr">
        <is>
          <t>Feuille</t>
        </is>
      </c>
      <c r="F30" s="34" t="inlineStr">
        <is>
          <t>Non</t>
        </is>
      </c>
    </row>
    <row r="31" ht="15" customHeight="1" s="18">
      <c r="A31" s="34" t="inlineStr">
        <is>
          <t>Pr_P2_2_7</t>
        </is>
      </c>
      <c r="B31" s="34" t="inlineStr">
        <is>
          <t xml:space="preserve">    Désoxygénation du milieu</t>
        </is>
      </c>
      <c r="C31" s="34" t="n">
        <v>3</v>
      </c>
      <c r="D31" s="34" t="inlineStr">
        <is>
          <t>Pr_P2_2</t>
        </is>
      </c>
      <c r="E31" s="34" t="inlineStr">
        <is>
          <t>Feuille</t>
        </is>
      </c>
      <c r="F31" s="34" t="inlineStr">
        <is>
          <t>Non</t>
        </is>
      </c>
    </row>
    <row r="32" ht="15" customHeight="1" s="18">
      <c r="A32" s="34" t="inlineStr">
        <is>
          <t>Pr_P2_3</t>
        </is>
      </c>
      <c r="B32" s="34" t="inlineStr">
        <is>
          <t xml:space="preserve">  Modification des champs électromagnétiques du milieu</t>
        </is>
      </c>
      <c r="C32" s="34" t="n">
        <v>2</v>
      </c>
      <c r="D32" s="34" t="inlineStr">
        <is>
          <t>Pr_P2</t>
        </is>
      </c>
      <c r="E32" s="34" t="inlineStr">
        <is>
          <t>Nœud composé</t>
        </is>
      </c>
      <c r="F32" s="34" t="inlineStr">
        <is>
          <t>Non</t>
        </is>
      </c>
    </row>
    <row r="33" ht="15" customHeight="1" s="18">
      <c r="A33" s="34" t="inlineStr">
        <is>
          <t>Pr_P2_3_1</t>
        </is>
      </c>
      <c r="B33" s="34" t="inlineStr">
        <is>
          <t xml:space="preserve">    Modification de l'intensité lumineuse dans le milieu</t>
        </is>
      </c>
      <c r="C33" s="34" t="n">
        <v>3</v>
      </c>
      <c r="D33" s="34" t="inlineStr">
        <is>
          <t>Pr_P2_3</t>
        </is>
      </c>
      <c r="E33" s="34" t="inlineStr">
        <is>
          <t>Nœud composé</t>
        </is>
      </c>
      <c r="F33" s="34" t="inlineStr">
        <is>
          <t>Non</t>
        </is>
      </c>
    </row>
    <row r="34" ht="15" customHeight="1" s="18">
      <c r="A34" s="34" t="inlineStr">
        <is>
          <t>Pr_P2_3_1_1</t>
        </is>
      </c>
      <c r="B34" s="34" t="inlineStr">
        <is>
          <t xml:space="preserve">      Augmentation de l'intensité lumineuse dans le milieu</t>
        </is>
      </c>
      <c r="C34" s="34" t="n">
        <v>4</v>
      </c>
      <c r="D34" s="34" t="inlineStr">
        <is>
          <t>Pr_P2_3_1</t>
        </is>
      </c>
      <c r="E34" s="34" t="inlineStr">
        <is>
          <t>Feuille</t>
        </is>
      </c>
      <c r="F34" s="34" t="inlineStr">
        <is>
          <t>Non</t>
        </is>
      </c>
    </row>
    <row r="35" ht="15" customHeight="1" s="18">
      <c r="A35" s="34" t="inlineStr">
        <is>
          <t>Pr_P2_3_1_2</t>
        </is>
      </c>
      <c r="B35" s="34" t="inlineStr">
        <is>
          <t xml:space="preserve">      Diminution de l'intensité lumineuse dans le milieu</t>
        </is>
      </c>
      <c r="C35" s="34" t="n">
        <v>4</v>
      </c>
      <c r="D35" s="34" t="inlineStr">
        <is>
          <t>Pr_P2_3_1</t>
        </is>
      </c>
      <c r="E35" s="34" t="inlineStr">
        <is>
          <t>Feuille</t>
        </is>
      </c>
      <c r="F35" s="34" t="inlineStr">
        <is>
          <t>Non</t>
        </is>
      </c>
    </row>
    <row r="36" ht="15" customHeight="1" s="18">
      <c r="A36" s="34" t="inlineStr">
        <is>
          <t>Pr_P2_3_2</t>
        </is>
      </c>
      <c r="B36" s="34" t="inlineStr">
        <is>
          <t xml:space="preserve">    Modification de l'apport de radionucléides dans le milieu</t>
        </is>
      </c>
      <c r="C36" s="34" t="n">
        <v>3</v>
      </c>
      <c r="D36" s="34" t="inlineStr">
        <is>
          <t>Pr_P2_3</t>
        </is>
      </c>
      <c r="E36" s="34" t="inlineStr">
        <is>
          <t>Feuille</t>
        </is>
      </c>
      <c r="F36" s="34" t="inlineStr">
        <is>
          <t>Non</t>
        </is>
      </c>
    </row>
    <row r="37" ht="15" customHeight="1" s="18">
      <c r="A37" s="34" t="inlineStr">
        <is>
          <t>Pr_P2_4</t>
        </is>
      </c>
      <c r="B37" s="34" t="inlineStr">
        <is>
          <t xml:space="preserve">  Modification des émissions d'ondes sonores audibles dans le milieu</t>
        </is>
      </c>
      <c r="C37" s="34" t="n">
        <v>2</v>
      </c>
      <c r="D37" s="34" t="inlineStr">
        <is>
          <t>Pr_P2</t>
        </is>
      </c>
      <c r="E37" s="34" t="inlineStr">
        <is>
          <t>Feuille</t>
        </is>
      </c>
      <c r="F37" s="34" t="inlineStr">
        <is>
          <t>Non</t>
        </is>
      </c>
    </row>
    <row r="38" ht="15" customHeight="1" s="18">
      <c r="A38" s="34" t="inlineStr">
        <is>
          <t>Pr_P2_5</t>
        </is>
      </c>
      <c r="B38" s="34" t="inlineStr">
        <is>
          <t xml:space="preserve">  Introduction de déchets solides dans le milieu</t>
        </is>
      </c>
      <c r="C38" s="34" t="n">
        <v>2</v>
      </c>
      <c r="D38" s="34" t="inlineStr">
        <is>
          <t>Pr_P2</t>
        </is>
      </c>
      <c r="E38" s="34" t="inlineStr">
        <is>
          <t>Feuille</t>
        </is>
      </c>
      <c r="F38" s="34" t="inlineStr">
        <is>
          <t>Non</t>
        </is>
      </c>
    </row>
    <row r="39" ht="15" customHeight="1" s="18">
      <c r="A39" s="34" t="inlineStr">
        <is>
          <t>Pr_P2_6</t>
        </is>
      </c>
      <c r="B39" s="34" t="inlineStr">
        <is>
          <t xml:space="preserve">  Introduction de substances chimiques dans le milieu</t>
        </is>
      </c>
      <c r="C39" s="34" t="n">
        <v>2</v>
      </c>
      <c r="D39" s="34" t="inlineStr">
        <is>
          <t>Pr_P2</t>
        </is>
      </c>
      <c r="E39" s="34" t="inlineStr">
        <is>
          <t>Nœud composé</t>
        </is>
      </c>
      <c r="F39" s="34" t="inlineStr">
        <is>
          <t>Non</t>
        </is>
      </c>
    </row>
    <row r="40" ht="15" customHeight="1" s="18">
      <c r="A40" s="34" t="inlineStr">
        <is>
          <t>Pr_P2_6_1</t>
        </is>
      </c>
      <c r="B40" s="34" t="inlineStr">
        <is>
          <t xml:space="preserve">    Introduction de métaux, métalloïdes et ETM dans le milieu</t>
        </is>
      </c>
      <c r="C40" s="34" t="n">
        <v>3</v>
      </c>
      <c r="D40" s="34" t="inlineStr">
        <is>
          <t>Pr_P2_6</t>
        </is>
      </c>
      <c r="E40" s="34" t="inlineStr">
        <is>
          <t>Feuille</t>
        </is>
      </c>
      <c r="F40" s="34" t="inlineStr">
        <is>
          <t>Non</t>
        </is>
      </c>
    </row>
    <row r="41" ht="15" customHeight="1" s="18">
      <c r="A41" s="34" t="inlineStr">
        <is>
          <t>Pr_P2_6_2</t>
        </is>
      </c>
      <c r="B41" s="34" t="inlineStr">
        <is>
          <t xml:space="preserve">    Introduction d'hydrocarbures et HAP dans le milieu</t>
        </is>
      </c>
      <c r="C41" s="34" t="n">
        <v>3</v>
      </c>
      <c r="D41" s="34" t="inlineStr">
        <is>
          <t>Pr_P2_6</t>
        </is>
      </c>
      <c r="E41" s="34" t="inlineStr">
        <is>
          <t>Feuille</t>
        </is>
      </c>
      <c r="F41" s="34" t="inlineStr">
        <is>
          <t>Non</t>
        </is>
      </c>
    </row>
    <row r="42" ht="15" customHeight="1" s="18">
      <c r="A42" s="34" t="inlineStr">
        <is>
          <t>Pr_P2_6_3</t>
        </is>
      </c>
      <c r="B42" s="34" t="inlineStr">
        <is>
          <t xml:space="preserve">    Introduction de composés synthéthiques dans le milieu</t>
        </is>
      </c>
      <c r="C42" s="34" t="n">
        <v>3</v>
      </c>
      <c r="D42" s="34" t="inlineStr">
        <is>
          <t>Pr_P2_6</t>
        </is>
      </c>
      <c r="E42" s="34" t="inlineStr">
        <is>
          <t>Feuille</t>
        </is>
      </c>
      <c r="F42" s="34" t="inlineStr">
        <is>
          <t>Non</t>
        </is>
      </c>
    </row>
    <row r="43" ht="15" customHeight="1" s="18">
      <c r="A43" s="34" t="inlineStr">
        <is>
          <t>Pr_P3</t>
        </is>
      </c>
      <c r="B43" s="34" t="inlineStr">
        <is>
          <t>Biologiques</t>
        </is>
      </c>
      <c r="C43" s="34" t="n">
        <v>1</v>
      </c>
      <c r="D43" s="34" t="n"/>
      <c r="E43" s="34" t="inlineStr">
        <is>
          <t>Nœud composé</t>
        </is>
      </c>
      <c r="F43" s="34" t="inlineStr">
        <is>
          <t>Non</t>
        </is>
      </c>
    </row>
    <row r="44" ht="15" customHeight="1" s="18">
      <c r="A44" s="34" t="inlineStr">
        <is>
          <t>Pr_P3_1</t>
        </is>
      </c>
      <c r="B44" s="34" t="inlineStr">
        <is>
          <t xml:space="preserve">  Introduction ou propagation d'espèces non indigènes-exotiques</t>
        </is>
      </c>
      <c r="C44" s="34" t="n">
        <v>2</v>
      </c>
      <c r="D44" s="34" t="inlineStr">
        <is>
          <t>Pr_P3</t>
        </is>
      </c>
      <c r="E44" s="34" t="inlineStr">
        <is>
          <t>Feuille</t>
        </is>
      </c>
      <c r="F44" s="34" t="inlineStr">
        <is>
          <t>Non</t>
        </is>
      </c>
    </row>
    <row r="45" ht="15" customHeight="1" s="18">
      <c r="A45" s="34" t="inlineStr">
        <is>
          <t>Pr_P3_2</t>
        </is>
      </c>
      <c r="B45" s="34" t="inlineStr">
        <is>
          <t xml:space="preserve">  Introduction ou propagation d'agents pathogènes non indigènes exotiques</t>
        </is>
      </c>
      <c r="C45" s="34" t="n">
        <v>2</v>
      </c>
      <c r="D45" s="34" t="inlineStr">
        <is>
          <t>Pr_P3</t>
        </is>
      </c>
      <c r="E45" s="34" t="inlineStr">
        <is>
          <t>Feuille</t>
        </is>
      </c>
      <c r="F45" s="34" t="inlineStr">
        <is>
          <t>Non</t>
        </is>
      </c>
    </row>
    <row r="46" ht="15" customHeight="1" s="18">
      <c r="A46" s="34" t="inlineStr">
        <is>
          <t>Pr_P3_3</t>
        </is>
      </c>
      <c r="B46" s="34" t="inlineStr">
        <is>
          <t xml:space="preserve">  Prolifération d'espèces ou d'agent pathogène indigènes</t>
        </is>
      </c>
      <c r="C46" s="34" t="n">
        <v>2</v>
      </c>
      <c r="D46" s="34" t="inlineStr">
        <is>
          <t>Pr_P3</t>
        </is>
      </c>
      <c r="E46" s="34" t="inlineStr">
        <is>
          <t>Feuille</t>
        </is>
      </c>
      <c r="F46" s="34" t="inlineStr">
        <is>
          <t>Non</t>
        </is>
      </c>
    </row>
    <row r="47" ht="15" customHeight="1" s="18">
      <c r="A47" s="34" t="inlineStr">
        <is>
          <t>Pr_P3_4</t>
        </is>
      </c>
      <c r="B47" s="34" t="inlineStr">
        <is>
          <t xml:space="preserve">  Introduction ou translocation d'espèces, identiques aux espèces indigènes, non génétiquement modifiées</t>
        </is>
      </c>
      <c r="C47" s="34" t="n">
        <v>2</v>
      </c>
      <c r="D47" s="34" t="inlineStr">
        <is>
          <t>Pr_P3</t>
        </is>
      </c>
      <c r="E47" s="34" t="inlineStr">
        <is>
          <t>Feuille</t>
        </is>
      </c>
      <c r="F47" s="34" t="inlineStr">
        <is>
          <t>Non</t>
        </is>
      </c>
    </row>
    <row r="48" ht="15" customHeight="1" s="18">
      <c r="A48" s="34" t="inlineStr">
        <is>
          <t>Pr_P3_5</t>
        </is>
      </c>
      <c r="B48" s="34" t="inlineStr">
        <is>
          <t xml:space="preserve">  Introduction ou translocation d'espèces, identiques aux espèces indigènes, génétiquement modifiées (OGM)</t>
        </is>
      </c>
      <c r="C48" s="34" t="n">
        <v>2</v>
      </c>
      <c r="D48" s="34" t="inlineStr">
        <is>
          <t>Pr_P3</t>
        </is>
      </c>
      <c r="E48" s="34" t="inlineStr">
        <is>
          <t>Feuille</t>
        </is>
      </c>
      <c r="F48" s="34" t="inlineStr">
        <is>
          <t>Non</t>
        </is>
      </c>
    </row>
    <row r="49" ht="15" customHeight="1" s="18">
      <c r="A49" s="34" t="inlineStr">
        <is>
          <t>Pr_P3_6</t>
        </is>
      </c>
      <c r="B49" s="34" t="inlineStr">
        <is>
          <t xml:space="preserve">  Appauvrissement génétique des populations naturelles</t>
        </is>
      </c>
      <c r="C49" s="34" t="n">
        <v>2</v>
      </c>
      <c r="D49" s="34" t="inlineStr">
        <is>
          <t>Pr_P3</t>
        </is>
      </c>
      <c r="E49" s="34" t="inlineStr">
        <is>
          <t>Feuille</t>
        </is>
      </c>
      <c r="F49" s="34" t="inlineStr">
        <is>
          <t>Non</t>
        </is>
      </c>
    </row>
  </sheetData>
  <autoFilter ref="A1:F49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1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7" min="1" max="1"/>
    <col width="95" customWidth="1" style="17" min="2" max="2"/>
    <col width="8" customWidth="1" style="17" min="3" max="3"/>
  </cols>
  <sheetData>
    <row r="1" ht="15" customHeight="1" s="18">
      <c r="A1" s="22" t="inlineStr">
        <is>
          <t>Code_A</t>
        </is>
      </c>
      <c r="B1" s="22" t="inlineStr">
        <is>
          <t>Nom de l'activité (indenté par niveau)</t>
        </is>
      </c>
      <c r="C1" s="22" t="inlineStr">
        <is>
          <t>Niveau</t>
        </is>
      </c>
    </row>
    <row r="2" ht="15" customHeight="1" s="18">
      <c r="A2" s="34" t="inlineStr">
        <is>
          <t>A_1</t>
        </is>
      </c>
      <c r="B2" s="34" t="inlineStr">
        <is>
          <t>Aquaculture</t>
        </is>
      </c>
      <c r="C2" s="34" t="n">
        <v>1</v>
      </c>
    </row>
    <row r="3" ht="15" customHeight="1" s="18">
      <c r="A3" s="34" t="inlineStr">
        <is>
          <t>A_1_1</t>
        </is>
      </c>
      <c r="B3" s="34" t="inlineStr">
        <is>
          <t xml:space="preserve">  Aquaculture en mer</t>
        </is>
      </c>
      <c r="C3" s="34" t="n">
        <v>2</v>
      </c>
    </row>
    <row r="4" ht="15" customHeight="1" s="18">
      <c r="A4" s="34" t="inlineStr">
        <is>
          <t>A_1_1_1</t>
        </is>
      </c>
      <c r="B4" s="34" t="inlineStr">
        <is>
          <t xml:space="preserve">    Pisciculture en cage en eaux profondes</t>
        </is>
      </c>
      <c r="C4" s="34" t="n">
        <v>3</v>
      </c>
    </row>
    <row r="5" ht="15" customHeight="1" s="18">
      <c r="A5" s="34" t="inlineStr">
        <is>
          <t>A_1_1_2</t>
        </is>
      </c>
      <c r="B5" s="34" t="inlineStr">
        <is>
          <t xml:space="preserve">    Algoculture sur filière en eaux profondes</t>
        </is>
      </c>
      <c r="C5" s="34" t="n">
        <v>3</v>
      </c>
    </row>
    <row r="6" ht="15" customHeight="1" s="18">
      <c r="A6" s="34" t="inlineStr">
        <is>
          <t>A_1_1_3</t>
        </is>
      </c>
      <c r="B6" s="34" t="inlineStr">
        <is>
          <t xml:space="preserve">    Conchyliculture au sol en eaux profondes</t>
        </is>
      </c>
      <c r="C6" s="34" t="n">
        <v>3</v>
      </c>
    </row>
    <row r="7" ht="15" customHeight="1" s="18">
      <c r="A7" s="34" t="inlineStr">
        <is>
          <t>A_1_1_4</t>
        </is>
      </c>
      <c r="B7" s="34" t="inlineStr">
        <is>
          <t xml:space="preserve">    Conchyliculture sur filière en eaux profondes</t>
        </is>
      </c>
      <c r="C7" s="34" t="n">
        <v>3</v>
      </c>
    </row>
    <row r="8" ht="15" customHeight="1" s="18">
      <c r="A8" s="34" t="inlineStr">
        <is>
          <t>A_1_2</t>
        </is>
      </c>
      <c r="B8" s="34" t="inlineStr">
        <is>
          <t xml:space="preserve">  Aquaculture à terre</t>
        </is>
      </c>
      <c r="C8" s="34" t="n">
        <v>2</v>
      </c>
    </row>
    <row r="9" ht="15" customHeight="1" s="18">
      <c r="A9" s="34" t="inlineStr">
        <is>
          <t>A_1_2_1</t>
        </is>
      </c>
      <c r="B9" s="34" t="inlineStr">
        <is>
          <t xml:space="preserve">    Aquaculture en bassin non submersible à terre</t>
        </is>
      </c>
      <c r="C9" s="34" t="n">
        <v>3</v>
      </c>
    </row>
    <row r="10" ht="15" customHeight="1" s="18">
      <c r="A10" s="34" t="inlineStr">
        <is>
          <t>A_1_2_2</t>
        </is>
      </c>
      <c r="B10" s="34" t="inlineStr">
        <is>
          <t xml:space="preserve">    Aquaculture en bassin submersible à terre</t>
        </is>
      </c>
      <c r="C10" s="34" t="n">
        <v>3</v>
      </c>
    </row>
    <row r="11" ht="15" customHeight="1" s="18">
      <c r="A11" s="34" t="inlineStr">
        <is>
          <t>A_1_3</t>
        </is>
      </c>
      <c r="B11" s="34" t="inlineStr">
        <is>
          <t xml:space="preserve">  Aquaculture sur l'estran</t>
        </is>
      </c>
      <c r="C11" s="34" t="n">
        <v>2</v>
      </c>
    </row>
    <row r="12" ht="15" customHeight="1" s="18">
      <c r="A12" s="34" t="inlineStr">
        <is>
          <t>A_1_3_1</t>
        </is>
      </c>
      <c r="B12" s="34" t="inlineStr">
        <is>
          <t xml:space="preserve">    Algoculture sur l'estran</t>
        </is>
      </c>
      <c r="C12" s="34" t="n">
        <v>3</v>
      </c>
    </row>
    <row r="13" ht="15" customHeight="1" s="18">
      <c r="A13" s="34" t="inlineStr">
        <is>
          <t>A_1_3_2</t>
        </is>
      </c>
      <c r="B13" s="34" t="inlineStr">
        <is>
          <t xml:space="preserve">    Conchyliculture au sol ou sur table</t>
        </is>
      </c>
      <c r="C13" s="34" t="n">
        <v>3</v>
      </c>
    </row>
    <row r="14" ht="15" customHeight="1" s="18">
      <c r="A14" s="34" t="inlineStr">
        <is>
          <t>A_1_3_3</t>
        </is>
      </c>
      <c r="B14" s="34" t="inlineStr">
        <is>
          <t xml:space="preserve">    Conchyliculture sur bouchot</t>
        </is>
      </c>
      <c r="C14" s="34" t="n">
        <v>3</v>
      </c>
    </row>
    <row r="15" ht="15" customHeight="1" s="18">
      <c r="A15" s="34" t="inlineStr">
        <is>
          <t>A_1_4</t>
        </is>
      </c>
      <c r="B15" s="34" t="inlineStr">
        <is>
          <t xml:space="preserve">  Aquaculture en lagune</t>
        </is>
      </c>
      <c r="C15" s="34" t="n">
        <v>2</v>
      </c>
    </row>
    <row r="16" ht="15" customHeight="1" s="18">
      <c r="A16" s="34" t="inlineStr">
        <is>
          <t>A_1_4_1</t>
        </is>
      </c>
      <c r="B16" s="34" t="inlineStr">
        <is>
          <t xml:space="preserve">    Conchyliculture au sol en lagune</t>
        </is>
      </c>
      <c r="C16" s="34" t="n">
        <v>3</v>
      </c>
    </row>
    <row r="17" ht="15" customHeight="1" s="18">
      <c r="A17" s="34" t="inlineStr">
        <is>
          <t>A_1_4_2</t>
        </is>
      </c>
      <c r="B17" s="34" t="inlineStr">
        <is>
          <t xml:space="preserve">    Conchyliculture sur filière en lagune</t>
        </is>
      </c>
      <c r="C17" s="34" t="n">
        <v>3</v>
      </c>
    </row>
    <row r="18" ht="15" customHeight="1" s="18">
      <c r="A18" s="34" t="inlineStr">
        <is>
          <t>A_1_4_3</t>
        </is>
      </c>
      <c r="B18" s="34" t="inlineStr">
        <is>
          <t xml:space="preserve">    Pisciculture en cage en lagune</t>
        </is>
      </c>
      <c r="C18" s="34" t="n">
        <v>3</v>
      </c>
    </row>
    <row r="19" ht="15" customHeight="1" s="18">
      <c r="A19" s="34" t="inlineStr">
        <is>
          <t>A_2</t>
        </is>
      </c>
      <c r="B19" s="34" t="inlineStr">
        <is>
          <t>Pêche</t>
        </is>
      </c>
      <c r="C19" s="34" t="n">
        <v>1</v>
      </c>
    </row>
    <row r="20" ht="15" customHeight="1" s="18">
      <c r="A20" s="34" t="inlineStr">
        <is>
          <t>A_2_1</t>
        </is>
      </c>
      <c r="B20" s="34" t="inlineStr">
        <is>
          <t xml:space="preserve">  Pêche professionnelle du bord</t>
        </is>
      </c>
      <c r="C20" s="34" t="n">
        <v>2</v>
      </c>
    </row>
    <row r="21" ht="15" customHeight="1" s="18">
      <c r="A21" s="34" t="inlineStr">
        <is>
          <t>A_2_1_1</t>
        </is>
      </c>
      <c r="B21" s="34" t="inlineStr">
        <is>
          <t xml:space="preserve">    Pêche professionnelle du bord à la drague à main</t>
        </is>
      </c>
      <c r="C21" s="34" t="n">
        <v>3</v>
      </c>
    </row>
    <row r="22" ht="15" customHeight="1" s="18">
      <c r="A22" s="34" t="inlineStr">
        <is>
          <t>A_2_1_2</t>
        </is>
      </c>
      <c r="B22" s="34" t="inlineStr">
        <is>
          <t xml:space="preserve">    Pêche professionnelle du bord à la ligne à main ou à canne mécanisée</t>
        </is>
      </c>
      <c r="C22" s="34" t="n">
        <v>3</v>
      </c>
    </row>
    <row r="23" ht="15" customHeight="1" s="18">
      <c r="A23" s="34" t="inlineStr">
        <is>
          <t>A_2_1_3</t>
        </is>
      </c>
      <c r="B23" s="34" t="inlineStr">
        <is>
          <t xml:space="preserve">    Pêche professionnelle du bord à la senne de plage</t>
        </is>
      </c>
      <c r="C23" s="34" t="n">
        <v>3</v>
      </c>
    </row>
    <row r="24" ht="15" customHeight="1" s="18">
      <c r="A24" s="34" t="inlineStr">
        <is>
          <t>A_2_1_4</t>
        </is>
      </c>
      <c r="B24" s="34" t="inlineStr">
        <is>
          <t xml:space="preserve">    Pêche professionnelle du bord à l'épervier</t>
        </is>
      </c>
      <c r="C24" s="34" t="n">
        <v>3</v>
      </c>
    </row>
    <row r="25" ht="15" customHeight="1" s="18">
      <c r="A25" s="34" t="inlineStr">
        <is>
          <t>A_2_1_5</t>
        </is>
      </c>
      <c r="B25" s="34" t="inlineStr">
        <is>
          <t xml:space="preserve">    Pêche professionnelle du bord au chalut de plage</t>
        </is>
      </c>
      <c r="C25" s="34" t="n">
        <v>3</v>
      </c>
    </row>
    <row r="26" ht="15" customHeight="1" s="18">
      <c r="A26" s="34" t="inlineStr">
        <is>
          <t>A_2_1_6</t>
        </is>
      </c>
      <c r="B26" s="34" t="inlineStr">
        <is>
          <t xml:space="preserve">    Pêche professionnelle du bord au filet soulevé</t>
        </is>
      </c>
      <c r="C26" s="34" t="n">
        <v>3</v>
      </c>
    </row>
    <row r="27" ht="15" customHeight="1" s="18">
      <c r="A27" s="34" t="inlineStr">
        <is>
          <t>A_2_1_7</t>
        </is>
      </c>
      <c r="B27" s="34" t="inlineStr">
        <is>
          <t xml:space="preserve">    Pêche professionnelle du bord au piège</t>
        </is>
      </c>
      <c r="C27" s="34" t="n">
        <v>3</v>
      </c>
    </row>
    <row r="28" ht="15" customHeight="1" s="18">
      <c r="A28" s="34" t="inlineStr">
        <is>
          <t>A_2_1_8</t>
        </is>
      </c>
      <c r="B28" s="34" t="inlineStr">
        <is>
          <t xml:space="preserve">    Pêche professionnelle du bord au tamis (à civelle)</t>
        </is>
      </c>
      <c r="C28" s="34" t="n">
        <v>3</v>
      </c>
    </row>
    <row r="29" ht="15" customHeight="1" s="18">
      <c r="A29" s="34" t="inlineStr">
        <is>
          <t>A_2_2</t>
        </is>
      </c>
      <c r="B29" s="34" t="inlineStr">
        <is>
          <t xml:space="preserve">  Pêche professionnelle embarquée avec contact avec le fond</t>
        </is>
      </c>
      <c r="C29" s="34" t="n">
        <v>2</v>
      </c>
    </row>
    <row r="30" ht="15" customHeight="1" s="18">
      <c r="A30" s="34" t="inlineStr">
        <is>
          <t>A_2_2_1</t>
        </is>
      </c>
      <c r="B30" s="34" t="inlineStr">
        <is>
          <t xml:space="preserve">    Pêche professionnelle embarquée au chalut de fond à crevette</t>
        </is>
      </c>
      <c r="C30" s="34" t="n">
        <v>3</v>
      </c>
    </row>
    <row r="31" ht="15" customHeight="1" s="18">
      <c r="A31" s="34" t="inlineStr">
        <is>
          <t>A_2_2_2</t>
        </is>
      </c>
      <c r="B31" s="34" t="inlineStr">
        <is>
          <t xml:space="preserve">    Pêche professionnelle embarquée à la senne danoise et écossaise</t>
        </is>
      </c>
      <c r="C31" s="34" t="n">
        <v>3</v>
      </c>
    </row>
    <row r="32" ht="15" customHeight="1" s="18">
      <c r="A32" s="34" t="inlineStr">
        <is>
          <t>A_2_2_3</t>
        </is>
      </c>
      <c r="B32" s="34" t="inlineStr">
        <is>
          <t xml:space="preserve">    Pêche professionnelle embarquée au chalut de fond à panneaux</t>
        </is>
      </c>
      <c r="C32" s="34" t="n">
        <v>3</v>
      </c>
    </row>
    <row r="33" ht="15" customHeight="1" s="18">
      <c r="A33" s="34" t="inlineStr">
        <is>
          <t>A_2_2_4</t>
        </is>
      </c>
      <c r="B33" s="34" t="inlineStr">
        <is>
          <t xml:space="preserve">    Pêche professionnelle embarquée au gangui</t>
        </is>
      </c>
      <c r="C33" s="34" t="n">
        <v>3</v>
      </c>
    </row>
    <row r="34" ht="15" customHeight="1" s="18">
      <c r="A34" s="34" t="inlineStr">
        <is>
          <t>A_2_2_5</t>
        </is>
      </c>
      <c r="B34" s="34" t="inlineStr">
        <is>
          <t xml:space="preserve">    Pêche professionnelle embarquée à la drague</t>
        </is>
      </c>
      <c r="C34" s="34" t="n">
        <v>3</v>
      </c>
    </row>
    <row r="35" ht="15" customHeight="1" s="18">
      <c r="A35" s="34" t="inlineStr">
        <is>
          <t>A_2_2_6</t>
        </is>
      </c>
      <c r="B35" s="34" t="inlineStr">
        <is>
          <t xml:space="preserve">    Pêche professionnelle embarquée au chalut à perche</t>
        </is>
      </c>
      <c r="C35" s="34" t="n">
        <v>3</v>
      </c>
    </row>
    <row r="36" ht="15" customHeight="1" s="18">
      <c r="A36" s="34" t="inlineStr">
        <is>
          <t>A_2_2_7</t>
        </is>
      </c>
      <c r="B36" s="34" t="inlineStr">
        <is>
          <t xml:space="preserve">    Pêche professionnelle embarquée au chalut bœuf de fond</t>
        </is>
      </c>
      <c r="C36" s="34" t="n">
        <v>3</v>
      </c>
    </row>
    <row r="37" ht="15" customHeight="1" s="18">
      <c r="A37" s="34" t="inlineStr">
        <is>
          <t>A_2_2_8</t>
        </is>
      </c>
      <c r="B37" s="34" t="inlineStr">
        <is>
          <t xml:space="preserve">    Pêche professionnelle embarquée au scoubidou ou peigne</t>
        </is>
      </c>
      <c r="C37" s="34" t="n">
        <v>3</v>
      </c>
    </row>
    <row r="38" ht="15" customHeight="1" s="18">
      <c r="A38" s="34" t="inlineStr">
        <is>
          <t>A_2_3</t>
        </is>
      </c>
      <c r="B38" s="34" t="inlineStr">
        <is>
          <t xml:space="preserve">  Pêche professionnelle embarquée sans contact avec le fond</t>
        </is>
      </c>
      <c r="C38" s="34" t="n">
        <v>2</v>
      </c>
    </row>
    <row r="39" ht="15" customHeight="1" s="18">
      <c r="A39" s="34" t="inlineStr">
        <is>
          <t>A_2_3_1</t>
        </is>
      </c>
      <c r="B39" s="34" t="inlineStr">
        <is>
          <t xml:space="preserve">    Pêche professionnelle embarquée à la palangre</t>
        </is>
      </c>
      <c r="C39" s="34" t="n">
        <v>3</v>
      </c>
    </row>
    <row r="40" ht="15" customHeight="1" s="18">
      <c r="A40" s="34" t="inlineStr">
        <is>
          <t>A_2_3_2</t>
        </is>
      </c>
      <c r="B40" s="34" t="inlineStr">
        <is>
          <t xml:space="preserve">    Pêche professionnelle embarquée à la senne tournante</t>
        </is>
      </c>
      <c r="C40" s="34" t="n">
        <v>3</v>
      </c>
    </row>
    <row r="41" ht="15" customHeight="1" s="18">
      <c r="A41" s="34" t="inlineStr">
        <is>
          <t>A_2_3_3</t>
        </is>
      </c>
      <c r="B41" s="34" t="inlineStr">
        <is>
          <t xml:space="preserve">    Pêche professionnelle embarquée à l'épervier</t>
        </is>
      </c>
      <c r="C41" s="34" t="n">
        <v>3</v>
      </c>
    </row>
    <row r="42" ht="15" customHeight="1" s="18">
      <c r="A42" s="34" t="inlineStr">
        <is>
          <t>A_2_3_4</t>
        </is>
      </c>
      <c r="B42" s="34" t="inlineStr">
        <is>
          <t xml:space="preserve">    Pêche professionnelle embarquée au chalut pélagique</t>
        </is>
      </c>
      <c r="C42" s="34" t="n">
        <v>3</v>
      </c>
    </row>
    <row r="43" ht="15" customHeight="1" s="18">
      <c r="A43" s="34" t="inlineStr">
        <is>
          <t>A_2_3_5</t>
        </is>
      </c>
      <c r="B43" s="34" t="inlineStr">
        <is>
          <t xml:space="preserve">    Pêche professionnelle embarquée au filet maillant et emmelant</t>
        </is>
      </c>
      <c r="C43" s="34" t="n">
        <v>3</v>
      </c>
    </row>
    <row r="44" ht="15" customHeight="1" s="18">
      <c r="A44" s="34" t="inlineStr">
        <is>
          <t>A_2_3_6</t>
        </is>
      </c>
      <c r="B44" s="34" t="inlineStr">
        <is>
          <t xml:space="preserve">    Pêche professionnelle embarquée au filet soulevé</t>
        </is>
      </c>
      <c r="C44" s="34" t="n">
        <v>3</v>
      </c>
    </row>
    <row r="45" ht="15" customHeight="1" s="18">
      <c r="A45" s="34" t="inlineStr">
        <is>
          <t>A_2_3_7</t>
        </is>
      </c>
      <c r="B45" s="34" t="inlineStr">
        <is>
          <t xml:space="preserve">    Pêche professionnelle embarquée au piège</t>
        </is>
      </c>
      <c r="C45" s="34" t="n">
        <v>3</v>
      </c>
    </row>
    <row r="46" ht="15" customHeight="1" s="18">
      <c r="A46" s="34" t="inlineStr">
        <is>
          <t>A_2_3_8</t>
        </is>
      </c>
      <c r="B46" s="34" t="inlineStr">
        <is>
          <t xml:space="preserve">    Pêche professionnelle embarquée à la ligne de traîne</t>
        </is>
      </c>
      <c r="C46" s="34" t="n">
        <v>3</v>
      </c>
    </row>
    <row r="47" ht="15" customHeight="1" s="18">
      <c r="A47" s="34" t="inlineStr">
        <is>
          <t>A_2_4</t>
        </is>
      </c>
      <c r="B47" s="34" t="inlineStr">
        <is>
          <t xml:space="preserve">  Autres pratiques de pêche professionnelle</t>
        </is>
      </c>
      <c r="C47" s="34" t="n">
        <v>2</v>
      </c>
    </row>
    <row r="48" ht="15" customHeight="1" s="18">
      <c r="A48" s="34" t="inlineStr">
        <is>
          <t>A_2_4_1</t>
        </is>
      </c>
      <c r="B48" s="34" t="inlineStr">
        <is>
          <t xml:space="preserve">    Pêche à pied professionnelle</t>
        </is>
      </c>
      <c r="C48" s="34" t="n">
        <v>3</v>
      </c>
    </row>
    <row r="49" ht="15" customHeight="1" s="18">
      <c r="A49" s="34" t="inlineStr">
        <is>
          <t>A_2_4_2</t>
        </is>
      </c>
      <c r="B49" s="34" t="inlineStr">
        <is>
          <t xml:space="preserve">    Pêche sous marine professionnelle</t>
        </is>
      </c>
      <c r="C49" s="34" t="n">
        <v>3</v>
      </c>
    </row>
    <row r="50" ht="15" customHeight="1" s="18">
      <c r="A50" s="34" t="inlineStr">
        <is>
          <t>A_2_5</t>
        </is>
      </c>
      <c r="B50" s="34" t="inlineStr">
        <is>
          <t xml:space="preserve">  Pêche loisir ou artisanale</t>
        </is>
      </c>
      <c r="C50" s="34" t="n">
        <v>2</v>
      </c>
    </row>
    <row r="51" ht="15" customHeight="1" s="18">
      <c r="A51" s="34" t="inlineStr">
        <is>
          <t>A_2_5_1</t>
        </is>
      </c>
      <c r="B51" s="34" t="inlineStr">
        <is>
          <t xml:space="preserve">    Pêche loisir à pied</t>
        </is>
      </c>
      <c r="C51" s="34" t="n">
        <v>3</v>
      </c>
    </row>
    <row r="52" ht="15" customHeight="1" s="18">
      <c r="A52" s="34" t="inlineStr">
        <is>
          <t>A_2_5_2</t>
        </is>
      </c>
      <c r="B52" s="34" t="inlineStr">
        <is>
          <t xml:space="preserve">    Chasse sous-marine en apnée</t>
        </is>
      </c>
      <c r="C52" s="34" t="n">
        <v>3</v>
      </c>
    </row>
    <row r="53" ht="15" customHeight="1" s="18">
      <c r="A53" s="34" t="inlineStr">
        <is>
          <t>A_2_5_3</t>
        </is>
      </c>
      <c r="B53" s="34" t="inlineStr">
        <is>
          <t xml:space="preserve">    Pêche loisir du bord</t>
        </is>
      </c>
      <c r="C53" s="34" t="n">
        <v>3</v>
      </c>
    </row>
    <row r="54" ht="15" customHeight="1" s="18">
      <c r="A54" s="34" t="inlineStr">
        <is>
          <t>A_2_5_4</t>
        </is>
      </c>
      <c r="B54" s="34" t="inlineStr">
        <is>
          <t xml:space="preserve">    Pêche loisir embarquée</t>
        </is>
      </c>
      <c r="C54" s="34" t="n">
        <v>3</v>
      </c>
    </row>
    <row r="55" ht="15" customHeight="1" s="18">
      <c r="A55" s="34" t="inlineStr">
        <is>
          <t>A_3</t>
        </is>
      </c>
      <c r="B55" s="34" t="inlineStr">
        <is>
          <t>Sports et loisirs</t>
        </is>
      </c>
      <c r="C55" s="34" t="n">
        <v>1</v>
      </c>
    </row>
    <row r="56" ht="15" customHeight="1" s="18">
      <c r="A56" s="34" t="inlineStr">
        <is>
          <t>A_3_1</t>
        </is>
      </c>
      <c r="B56" s="34" t="inlineStr">
        <is>
          <t xml:space="preserve">  Activités récréatives nautiques</t>
        </is>
      </c>
      <c r="C56" s="34" t="n">
        <v>2</v>
      </c>
    </row>
    <row r="57" ht="15" customHeight="1" s="18">
      <c r="A57" s="34" t="inlineStr">
        <is>
          <t>A_3_1_1</t>
        </is>
      </c>
      <c r="B57" s="34" t="inlineStr">
        <is>
          <t xml:space="preserve">    Randonnée subaquatique (PMT)</t>
        </is>
      </c>
      <c r="C57" s="34" t="n">
        <v>3</v>
      </c>
    </row>
    <row r="58" ht="15" customHeight="1" s="18">
      <c r="A58" s="34" t="inlineStr">
        <is>
          <t>A_3_1_2</t>
        </is>
      </c>
      <c r="B58" s="34" t="inlineStr">
        <is>
          <t xml:space="preserve">    Plongée sous-marine</t>
        </is>
      </c>
      <c r="C58" s="34" t="n">
        <v>3</v>
      </c>
    </row>
    <row r="59" ht="15" customHeight="1" s="18">
      <c r="A59" s="34" t="inlineStr">
        <is>
          <t>A_3_1_3</t>
        </is>
      </c>
      <c r="B59" s="34" t="inlineStr">
        <is>
          <t xml:space="preserve">    Sports nautiques non motorisés (surf. planche à voile. kitesurf. voile légère. kayak. paddle. aviron)</t>
        </is>
      </c>
      <c r="C59" s="34" t="n">
        <v>3</v>
      </c>
    </row>
    <row r="60" ht="15" customHeight="1" s="18">
      <c r="A60" s="34" t="inlineStr">
        <is>
          <t>A_3_1_4</t>
        </is>
      </c>
      <c r="B60" s="34" t="inlineStr">
        <is>
          <t xml:space="preserve">    Sports nautiques motorisés (jet ski. motonautisme. ski nautique)</t>
        </is>
      </c>
      <c r="C60" s="34" t="n">
        <v>3</v>
      </c>
    </row>
    <row r="61" ht="15" customHeight="1" s="18">
      <c r="A61" s="34" t="inlineStr">
        <is>
          <t>A_3_2</t>
        </is>
      </c>
      <c r="B61" s="34" t="inlineStr">
        <is>
          <t xml:space="preserve">  Activités récréatives sur l'estran</t>
        </is>
      </c>
      <c r="C61" s="34" t="n">
        <v>2</v>
      </c>
    </row>
    <row r="62" ht="15" customHeight="1" s="18">
      <c r="A62" s="34" t="inlineStr">
        <is>
          <t>A_3_2_1</t>
        </is>
      </c>
      <c r="B62" s="34" t="inlineStr">
        <is>
          <t xml:space="preserve">    Activité balnéaire</t>
        </is>
      </c>
      <c r="C62" s="34" t="n">
        <v>3</v>
      </c>
    </row>
    <row r="63" ht="15" customHeight="1" s="18">
      <c r="A63" s="34" t="inlineStr">
        <is>
          <t>A_3_2_2</t>
        </is>
      </c>
      <c r="B63" s="34" t="inlineStr">
        <is>
          <t xml:space="preserve">    Engins de plage motorisés</t>
        </is>
      </c>
      <c r="C63" s="34" t="n">
        <v>3</v>
      </c>
    </row>
    <row r="64" ht="15" customHeight="1" s="18">
      <c r="A64" s="34" t="inlineStr">
        <is>
          <t>A_3_2_3</t>
        </is>
      </c>
      <c r="B64" s="34" t="inlineStr">
        <is>
          <t xml:space="preserve">    Ballades équestres sur l'estran</t>
        </is>
      </c>
      <c r="C64" s="34" t="n">
        <v>3</v>
      </c>
    </row>
    <row r="65" ht="15" customHeight="1" s="18">
      <c r="A65" s="34" t="inlineStr">
        <is>
          <t>A_4</t>
        </is>
      </c>
      <c r="B65" s="34" t="inlineStr">
        <is>
          <t>Gestion et artificialisation du trait de côte</t>
        </is>
      </c>
      <c r="C65" s="34" t="n">
        <v>1</v>
      </c>
    </row>
    <row r="66" ht="15" customHeight="1" s="18">
      <c r="A66" s="34" t="inlineStr">
        <is>
          <t>A_4_1</t>
        </is>
      </c>
      <c r="B66" s="34" t="inlineStr">
        <is>
          <t xml:space="preserve">  Infrastructures côtières permanentes</t>
        </is>
      </c>
      <c r="C66" s="34" t="n">
        <v>2</v>
      </c>
    </row>
    <row r="67" ht="15" customHeight="1" s="18">
      <c r="A67" s="34" t="inlineStr">
        <is>
          <t>A_4_1_1</t>
        </is>
      </c>
      <c r="B67" s="34" t="inlineStr">
        <is>
          <t xml:space="preserve">    Ouvrages empiétant sur le domaine marin - phase travaux (digues. jetées. enrochements. docks. ports)</t>
        </is>
      </c>
      <c r="C67" s="34" t="n">
        <v>3</v>
      </c>
    </row>
    <row r="68" ht="15" customHeight="1" s="18">
      <c r="A68" s="34" t="inlineStr">
        <is>
          <t>A_4_1_2</t>
        </is>
      </c>
      <c r="B68" s="34" t="inlineStr">
        <is>
          <t xml:space="preserve">    Ouvrages empiétant sur le domaine marin - phase permanente (digues. jetées. enrochements. docks. ports)</t>
        </is>
      </c>
      <c r="C68" s="34" t="n">
        <v>3</v>
      </c>
    </row>
    <row r="69" ht="15" customHeight="1" s="18">
      <c r="A69" s="34" t="inlineStr">
        <is>
          <t>A_4_1_3</t>
        </is>
      </c>
      <c r="B69" s="34" t="inlineStr">
        <is>
          <t xml:space="preserve">    Poldérisation - phase travaux</t>
        </is>
      </c>
      <c r="C69" s="34" t="n">
        <v>3</v>
      </c>
    </row>
    <row r="70" ht="15" customHeight="1" s="18">
      <c r="A70" s="34" t="inlineStr">
        <is>
          <t>A_4_1_4</t>
        </is>
      </c>
      <c r="B70" s="34" t="inlineStr">
        <is>
          <t xml:space="preserve">    Poldérisation - phase permanente</t>
        </is>
      </c>
      <c r="C70" s="34" t="n">
        <v>3</v>
      </c>
    </row>
    <row r="71" ht="15" customHeight="1" s="18">
      <c r="A71" s="34" t="inlineStr">
        <is>
          <t>A_4_1_5</t>
        </is>
      </c>
      <c r="B71" s="34" t="inlineStr">
        <is>
          <t xml:space="preserve">    Dépoldérisation - phase travaux</t>
        </is>
      </c>
      <c r="C71" s="34" t="n">
        <v>3</v>
      </c>
    </row>
    <row r="72" ht="15" customHeight="1" s="18">
      <c r="A72" s="34" t="inlineStr">
        <is>
          <t>A_4_1_6</t>
        </is>
      </c>
      <c r="B72" s="34" t="inlineStr">
        <is>
          <t xml:space="preserve">    Centrales nucléaires – construction</t>
        </is>
      </c>
      <c r="C72" s="34" t="n">
        <v>3</v>
      </c>
    </row>
    <row r="73" ht="15" customHeight="1" s="18">
      <c r="A73" s="34" t="inlineStr">
        <is>
          <t>A_4_1_7</t>
        </is>
      </c>
      <c r="B73" s="34" t="inlineStr">
        <is>
          <t xml:space="preserve">    Centrales nucléaires – fonctionnement</t>
        </is>
      </c>
      <c r="C73" s="34" t="n">
        <v>3</v>
      </c>
    </row>
    <row r="74" ht="15" customHeight="1" s="18">
      <c r="A74" s="34" t="inlineStr">
        <is>
          <t>A_4_1_8</t>
        </is>
      </c>
      <c r="B74" s="34" t="inlineStr">
        <is>
          <t xml:space="preserve">    Centrales nucléaires – démantèlement</t>
        </is>
      </c>
      <c r="C74" s="34" t="n">
        <v>3</v>
      </c>
    </row>
    <row r="75" ht="15" customHeight="1" s="18">
      <c r="A75" s="34" t="inlineStr">
        <is>
          <t>A_4_2</t>
        </is>
      </c>
      <c r="B75" s="34" t="inlineStr">
        <is>
          <t xml:space="preserve">  Actions de gestion écologique</t>
        </is>
      </c>
      <c r="C75" s="34" t="n">
        <v>2</v>
      </c>
    </row>
    <row r="76" ht="15" customHeight="1" s="18">
      <c r="A76" s="34" t="inlineStr">
        <is>
          <t>A_4_2_1</t>
        </is>
      </c>
      <c r="B76" s="34" t="inlineStr">
        <is>
          <t xml:space="preserve">    Restauration d’habitats côtiers</t>
        </is>
      </c>
      <c r="C76" s="34" t="n">
        <v>3</v>
      </c>
    </row>
    <row r="77" ht="15" customHeight="1" s="18">
      <c r="A77" s="34" t="inlineStr">
        <is>
          <t>A_4_2_2</t>
        </is>
      </c>
      <c r="B77" s="34" t="inlineStr">
        <is>
          <t xml:space="preserve">    Rechargement des plages</t>
        </is>
      </c>
      <c r="C77" s="34" t="n">
        <v>3</v>
      </c>
    </row>
    <row r="78" ht="15" customHeight="1" s="18">
      <c r="A78" s="34" t="inlineStr">
        <is>
          <t>A_4_2_3</t>
        </is>
      </c>
      <c r="B78" s="34" t="inlineStr">
        <is>
          <t xml:space="preserve">    Nettoyage des plages</t>
        </is>
      </c>
      <c r="C78" s="34" t="n">
        <v>3</v>
      </c>
    </row>
    <row r="79" ht="15" customHeight="1" s="18">
      <c r="A79" s="34" t="inlineStr">
        <is>
          <t>A_5</t>
        </is>
      </c>
      <c r="B79" s="34" t="inlineStr">
        <is>
          <t>Exploitation et artificialisation du domaine marin</t>
        </is>
      </c>
      <c r="C79" s="34" t="n">
        <v>1</v>
      </c>
    </row>
    <row r="80" ht="15" customHeight="1" s="18">
      <c r="A80" s="34" t="inlineStr">
        <is>
          <t>A_5_1</t>
        </is>
      </c>
      <c r="B80" s="34" t="inlineStr">
        <is>
          <t xml:space="preserve">  Infrastructures marines fixes - construction</t>
        </is>
      </c>
      <c r="C80" s="34" t="n">
        <v>2</v>
      </c>
    </row>
    <row r="81" ht="15" customHeight="1" s="18">
      <c r="A81" s="34" t="inlineStr">
        <is>
          <t>A_5_1_1</t>
        </is>
      </c>
      <c r="B81" s="34" t="inlineStr">
        <is>
          <t xml:space="preserve">    Plateformes offshore – construction</t>
        </is>
      </c>
      <c r="C81" s="34" t="n">
        <v>3</v>
      </c>
    </row>
    <row r="82" ht="15" customHeight="1" s="18">
      <c r="A82" s="34" t="inlineStr">
        <is>
          <t>A_5_1_2</t>
        </is>
      </c>
      <c r="B82" s="34" t="inlineStr">
        <is>
          <t xml:space="preserve">    Récifs artificiels - phase travaux (structures offshores permanentes hors océanisation d'épaves et de déchets)</t>
        </is>
      </c>
      <c r="C82" s="34" t="n">
        <v>3</v>
      </c>
    </row>
    <row r="83" ht="15" customHeight="1" s="18">
      <c r="A83" s="34" t="inlineStr">
        <is>
          <t>A_5_1_3</t>
        </is>
      </c>
      <c r="B83" s="34" t="inlineStr">
        <is>
          <t xml:space="preserve">    Usines marémotrices – construction</t>
        </is>
      </c>
      <c r="C83" s="34" t="n">
        <v>3</v>
      </c>
    </row>
    <row r="84" ht="15" customHeight="1" s="18">
      <c r="A84" s="34" t="inlineStr">
        <is>
          <t>A_5_1_4</t>
        </is>
      </c>
      <c r="B84" s="34" t="inlineStr">
        <is>
          <t xml:space="preserve">    Energie thermique marine – construction</t>
        </is>
      </c>
      <c r="C84" s="34" t="n">
        <v>3</v>
      </c>
    </row>
    <row r="85" ht="15" customHeight="1" s="18">
      <c r="A85" s="34" t="inlineStr">
        <is>
          <t>A_5_1_5</t>
        </is>
      </c>
      <c r="B85" s="34" t="inlineStr">
        <is>
          <t xml:space="preserve">    Éolien fixe – construction</t>
        </is>
      </c>
      <c r="C85" s="34" t="n">
        <v>3</v>
      </c>
    </row>
    <row r="86" ht="15" customHeight="1" s="18">
      <c r="A86" s="34" t="inlineStr">
        <is>
          <t>A_5_1_6</t>
        </is>
      </c>
      <c r="B86" s="34" t="inlineStr">
        <is>
          <t xml:space="preserve">    Éolien flottant – construction</t>
        </is>
      </c>
      <c r="C86" s="34" t="n">
        <v>3</v>
      </c>
    </row>
    <row r="87" ht="15" customHeight="1" s="18">
      <c r="A87" s="34" t="inlineStr">
        <is>
          <t>A_5_1_7</t>
        </is>
      </c>
      <c r="B87" s="34" t="inlineStr">
        <is>
          <t xml:space="preserve">    Hydroliennes / houlomoteur – construction</t>
        </is>
      </c>
      <c r="C87" s="34" t="n">
        <v>3</v>
      </c>
    </row>
    <row r="88" ht="15" customHeight="1" s="18">
      <c r="A88" s="34" t="inlineStr">
        <is>
          <t>A_5_2</t>
        </is>
      </c>
      <c r="B88" s="34" t="inlineStr">
        <is>
          <t xml:space="preserve">  Infrastructures marines fixes - fonctionnement</t>
        </is>
      </c>
      <c r="C88" s="34" t="n">
        <v>2</v>
      </c>
    </row>
    <row r="89" ht="15" customHeight="1" s="18">
      <c r="A89" s="34" t="inlineStr">
        <is>
          <t>A_5_2_1</t>
        </is>
      </c>
      <c r="B89" s="34" t="inlineStr">
        <is>
          <t xml:space="preserve">    Plateformes offshore – fonctionnement</t>
        </is>
      </c>
      <c r="C89" s="34" t="n">
        <v>3</v>
      </c>
    </row>
    <row r="90" ht="15" customHeight="1" s="18">
      <c r="A90" s="34" t="inlineStr">
        <is>
          <t>A_5_2_2</t>
        </is>
      </c>
      <c r="B90" s="34" t="inlineStr">
        <is>
          <t xml:space="preserve">    Récifs artificiels - présence (structures offshores permanentes hors océanisation d'épaves et de déchets)</t>
        </is>
      </c>
      <c r="C90" s="34" t="n">
        <v>3</v>
      </c>
    </row>
    <row r="91" ht="15" customHeight="1" s="18">
      <c r="A91" s="34" t="inlineStr">
        <is>
          <t>A_5_2_3</t>
        </is>
      </c>
      <c r="B91" s="34" t="inlineStr">
        <is>
          <t xml:space="preserve">    Usines marémotrices – fonctionnement</t>
        </is>
      </c>
      <c r="C91" s="34" t="n">
        <v>3</v>
      </c>
    </row>
    <row r="92" ht="15" customHeight="1" s="18">
      <c r="A92" s="34" t="inlineStr">
        <is>
          <t>A_5_2_4</t>
        </is>
      </c>
      <c r="B92" s="34" t="inlineStr">
        <is>
          <t xml:space="preserve">    Energie thermique marine – fonctionnement</t>
        </is>
      </c>
      <c r="C92" s="34" t="n">
        <v>3</v>
      </c>
    </row>
    <row r="93" ht="15" customHeight="1" s="18">
      <c r="A93" s="34" t="inlineStr">
        <is>
          <t>A_5_2_5</t>
        </is>
      </c>
      <c r="B93" s="34" t="inlineStr">
        <is>
          <t xml:space="preserve">    Éolien fixe – fonctionnement</t>
        </is>
      </c>
      <c r="C93" s="34" t="n">
        <v>3</v>
      </c>
    </row>
    <row r="94" ht="15" customHeight="1" s="18">
      <c r="A94" s="34" t="inlineStr">
        <is>
          <t>A_5_2_6</t>
        </is>
      </c>
      <c r="B94" s="34" t="inlineStr">
        <is>
          <t xml:space="preserve">    Éolien flottant – fonctionnement</t>
        </is>
      </c>
      <c r="C94" s="34" t="n">
        <v>3</v>
      </c>
    </row>
    <row r="95" ht="15" customHeight="1" s="18">
      <c r="A95" s="34" t="inlineStr">
        <is>
          <t>A_5_2_7</t>
        </is>
      </c>
      <c r="B95" s="34" t="inlineStr">
        <is>
          <t xml:space="preserve">    Hydroliennes / houlomoteur – fonctionnement</t>
        </is>
      </c>
      <c r="C95" s="34" t="n">
        <v>3</v>
      </c>
    </row>
    <row r="96" ht="15" customHeight="1" s="18">
      <c r="A96" s="34" t="inlineStr">
        <is>
          <t>A_5_3</t>
        </is>
      </c>
      <c r="B96" s="34" t="inlineStr">
        <is>
          <t xml:space="preserve">  Extraction et immersion de matèriel</t>
        </is>
      </c>
      <c r="C96" s="34" t="n">
        <v>2</v>
      </c>
    </row>
    <row r="97" ht="15" customHeight="1" s="18">
      <c r="A97" s="34" t="inlineStr">
        <is>
          <t>A_5_3_1</t>
        </is>
      </c>
      <c r="B97" s="34" t="inlineStr">
        <is>
          <t xml:space="preserve">    Dragage portuaire et chenaux de navigation</t>
        </is>
      </c>
      <c r="C97" s="34" t="n">
        <v>3</v>
      </c>
    </row>
    <row r="98" ht="15" customHeight="1" s="18">
      <c r="A98" s="34" t="inlineStr">
        <is>
          <t>A_5_3_2</t>
        </is>
      </c>
      <c r="B98" s="34" t="inlineStr">
        <is>
          <t xml:space="preserve">    Rejets de matériel / clapage</t>
        </is>
      </c>
      <c r="C98" s="34" t="n">
        <v>3</v>
      </c>
    </row>
    <row r="99" ht="15" customHeight="1" s="18">
      <c r="A99" s="34" t="inlineStr">
        <is>
          <t>A_5_3_3</t>
        </is>
      </c>
      <c r="B99" s="34" t="inlineStr">
        <is>
          <t xml:space="preserve">    Extraction de matériaux en mer</t>
        </is>
      </c>
      <c r="C99" s="34" t="n">
        <v>3</v>
      </c>
    </row>
    <row r="100" ht="15" customHeight="1" s="18">
      <c r="A100" s="34" t="inlineStr">
        <is>
          <t>A_5_4</t>
        </is>
      </c>
      <c r="B100" s="34" t="inlineStr">
        <is>
          <t xml:space="preserve">  Réseaux et conduites</t>
        </is>
      </c>
      <c r="C100" s="34" t="n">
        <v>2</v>
      </c>
    </row>
    <row r="101" ht="15" customHeight="1" s="18">
      <c r="A101" s="34" t="inlineStr">
        <is>
          <t>A_5_4_1</t>
        </is>
      </c>
      <c r="B101" s="34" t="inlineStr">
        <is>
          <t xml:space="preserve">    Canalisations sous-marines – installation par ensouillage</t>
        </is>
      </c>
      <c r="C101" s="34" t="n">
        <v>3</v>
      </c>
    </row>
    <row r="102" ht="15" customHeight="1" s="18">
      <c r="A102" s="34" t="inlineStr">
        <is>
          <t>A_5_4_2</t>
        </is>
      </c>
      <c r="B102" s="34" t="inlineStr">
        <is>
          <t xml:space="preserve">    Canalisations sous-marines – installation par pose/protection</t>
        </is>
      </c>
      <c r="C102" s="34" t="n">
        <v>3</v>
      </c>
    </row>
    <row r="103" ht="15" customHeight="1" s="18">
      <c r="A103" s="34" t="inlineStr">
        <is>
          <t>A_5_4_3</t>
        </is>
      </c>
      <c r="B103" s="34" t="inlineStr">
        <is>
          <t xml:space="preserve">    Canalisations sous-marines – présence</t>
        </is>
      </c>
      <c r="C103" s="34" t="n">
        <v>3</v>
      </c>
    </row>
    <row r="104" ht="15" customHeight="1" s="18">
      <c r="A104" s="34" t="inlineStr">
        <is>
          <t>A_5_4_4</t>
        </is>
      </c>
      <c r="B104" s="34" t="inlineStr">
        <is>
          <t xml:space="preserve">    Câbles sous-marins – installation par ensouillage</t>
        </is>
      </c>
      <c r="C104" s="34" t="n">
        <v>3</v>
      </c>
    </row>
    <row r="105" ht="15" customHeight="1" s="18">
      <c r="A105" s="34" t="inlineStr">
        <is>
          <t>A_5_4_5</t>
        </is>
      </c>
      <c r="B105" s="34" t="inlineStr">
        <is>
          <t xml:space="preserve">    Câbles sous-marins – installation par pose/protection</t>
        </is>
      </c>
      <c r="C105" s="34" t="n">
        <v>3</v>
      </c>
    </row>
    <row r="106" ht="15" customHeight="1" s="18">
      <c r="A106" s="34" t="inlineStr">
        <is>
          <t>A_5_4_6</t>
        </is>
      </c>
      <c r="B106" s="34" t="inlineStr">
        <is>
          <t xml:space="preserve">    Câbles sous-marins – présence</t>
        </is>
      </c>
      <c r="C106" s="34" t="n">
        <v>3</v>
      </c>
    </row>
    <row r="107" ht="15" customHeight="1" s="18">
      <c r="A107" s="34" t="inlineStr">
        <is>
          <t>A_6</t>
        </is>
      </c>
      <c r="B107" s="34" t="inlineStr">
        <is>
          <t>Usages terrestres</t>
        </is>
      </c>
      <c r="C107" s="34" t="n">
        <v>1</v>
      </c>
    </row>
    <row r="108" ht="15" customHeight="1" s="18">
      <c r="A108" s="34" t="inlineStr">
        <is>
          <t>A_6_1</t>
        </is>
      </c>
      <c r="B108" s="34" t="inlineStr">
        <is>
          <t xml:space="preserve">  Rejets urbains</t>
        </is>
      </c>
      <c r="C108" s="34" t="n">
        <v>2</v>
      </c>
    </row>
    <row r="109" ht="15" customHeight="1" s="18">
      <c r="A109" s="34" t="inlineStr">
        <is>
          <t>A_6_1_1</t>
        </is>
      </c>
      <c r="B109" s="34" t="inlineStr">
        <is>
          <t xml:space="preserve">    Stations d’épuration (rejets traités)</t>
        </is>
      </c>
      <c r="C109" s="34" t="n">
        <v>3</v>
      </c>
    </row>
    <row r="110" ht="15" customHeight="1" s="18">
      <c r="A110" s="34" t="inlineStr">
        <is>
          <t>A_6_1_2</t>
        </is>
      </c>
      <c r="B110" s="34" t="inlineStr">
        <is>
          <t xml:space="preserve">    Rejets domestiques non raccordés</t>
        </is>
      </c>
      <c r="C110" s="34" t="n">
        <v>3</v>
      </c>
    </row>
    <row r="111" ht="15" customHeight="1" s="18">
      <c r="A111" s="34" t="inlineStr">
        <is>
          <t>A_6_1_3</t>
        </is>
      </c>
      <c r="B111" s="34" t="inlineStr">
        <is>
          <t xml:space="preserve">    Déversoirs d’orage (rejets non traités ponctuels)</t>
        </is>
      </c>
      <c r="C111" s="34" t="n">
        <v>3</v>
      </c>
    </row>
    <row r="112" ht="15" customHeight="1" s="18">
      <c r="A112" s="34" t="inlineStr">
        <is>
          <t>A_6_1_4</t>
        </is>
      </c>
      <c r="B112" s="34" t="inlineStr">
        <is>
          <t xml:space="preserve">    Dépôt de déchets (rejets directs et par ruissellement urbain)</t>
        </is>
      </c>
      <c r="C112" s="34" t="n">
        <v>3</v>
      </c>
    </row>
    <row r="113" ht="15" customHeight="1" s="18">
      <c r="A113" s="34" t="inlineStr">
        <is>
          <t>A_6_1_5</t>
        </is>
      </c>
      <c r="B113" s="34" t="inlineStr">
        <is>
          <t xml:space="preserve">    Emissaires industriels directs</t>
        </is>
      </c>
      <c r="C113" s="34" t="n">
        <v>3</v>
      </c>
    </row>
    <row r="114" ht="15" customHeight="1" s="18">
      <c r="A114" s="34" t="inlineStr">
        <is>
          <t>A_6_2</t>
        </is>
      </c>
      <c r="B114" s="34" t="inlineStr">
        <is>
          <t xml:space="preserve">  Agriculture et élevage</t>
        </is>
      </c>
      <c r="C114" s="34" t="n">
        <v>2</v>
      </c>
    </row>
    <row r="115" ht="15" customHeight="1" s="18">
      <c r="A115" s="34" t="inlineStr">
        <is>
          <t>A_6_2_1</t>
        </is>
      </c>
      <c r="B115" s="34" t="inlineStr">
        <is>
          <t xml:space="preserve">    Agriculture sur bassins versants</t>
        </is>
      </c>
      <c r="C115" s="34" t="n">
        <v>3</v>
      </c>
    </row>
    <row r="116" ht="15" customHeight="1" s="18">
      <c r="A116" s="34" t="inlineStr">
        <is>
          <t>A_6_2_2</t>
        </is>
      </c>
      <c r="B116" s="34" t="inlineStr">
        <is>
          <t xml:space="preserve">    Élevage sur le DPM</t>
        </is>
      </c>
      <c r="C116" s="34" t="n">
        <v>3</v>
      </c>
    </row>
    <row r="117" ht="15" customHeight="1" s="18">
      <c r="A117" s="34" t="inlineStr">
        <is>
          <t>A_7</t>
        </is>
      </c>
      <c r="B117" s="34" t="inlineStr">
        <is>
          <t>Navigation de surface</t>
        </is>
      </c>
      <c r="C117" s="34" t="n">
        <v>1</v>
      </c>
    </row>
    <row r="118" ht="15" customHeight="1" s="18">
      <c r="A118" s="34" t="inlineStr">
        <is>
          <t>A_7_1</t>
        </is>
      </c>
      <c r="B118" s="34" t="inlineStr">
        <is>
          <t xml:space="preserve">  Navigation motorisée</t>
        </is>
      </c>
      <c r="C118" s="34" t="n">
        <v>2</v>
      </c>
    </row>
    <row r="119" ht="15" customHeight="1" s="18">
      <c r="A119" s="34" t="inlineStr">
        <is>
          <t>A_7_1_1</t>
        </is>
      </c>
      <c r="B119" s="34" t="inlineStr">
        <is>
          <t xml:space="preserve">    Petite embarcations à moteur (&lt; 12 m)</t>
        </is>
      </c>
      <c r="C119" s="34" t="n">
        <v>3</v>
      </c>
    </row>
    <row r="120" ht="15" customHeight="1" s="18">
      <c r="A120" s="34" t="inlineStr">
        <is>
          <t>A_7_1_2</t>
        </is>
      </c>
      <c r="B120" s="34" t="inlineStr">
        <is>
          <t xml:space="preserve">    Grandes embarcations à moteur (&gt; 12 m &lt; 100 m)</t>
        </is>
      </c>
      <c r="C120" s="34" t="n">
        <v>3</v>
      </c>
    </row>
    <row r="121" ht="15" customHeight="1" s="18">
      <c r="A121" s="34" t="inlineStr">
        <is>
          <t>A_7_1_3</t>
        </is>
      </c>
      <c r="B121" s="34" t="inlineStr">
        <is>
          <t xml:space="preserve">    Transport maritime commercial (tankers. cargos. croisière passagers. ferries)</t>
        </is>
      </c>
      <c r="C121" s="34" t="n">
        <v>3</v>
      </c>
    </row>
    <row r="122" ht="15" customHeight="1" s="18">
      <c r="A122" s="34" t="inlineStr">
        <is>
          <t>A_7_1_4</t>
        </is>
      </c>
      <c r="B122" s="34" t="inlineStr">
        <is>
          <t xml:space="preserve">    Navigation militaire</t>
        </is>
      </c>
      <c r="C122" s="34" t="n">
        <v>3</v>
      </c>
    </row>
    <row r="123" ht="15" customHeight="1" s="18">
      <c r="A123" s="34" t="inlineStr">
        <is>
          <t>A_7_2</t>
        </is>
      </c>
      <c r="B123" s="34" t="inlineStr">
        <is>
          <t xml:space="preserve">  Navigation non motorisée</t>
        </is>
      </c>
      <c r="C123" s="34" t="n">
        <v>2</v>
      </c>
    </row>
    <row r="124" ht="15" customHeight="1" s="18">
      <c r="A124" s="34" t="inlineStr">
        <is>
          <t>A_7_2_1</t>
        </is>
      </c>
      <c r="B124" s="34" t="inlineStr">
        <is>
          <t xml:space="preserve">    Plaisance à voile</t>
        </is>
      </c>
      <c r="C124" s="34" t="n">
        <v>3</v>
      </c>
    </row>
    <row r="125" ht="15" customHeight="1" s="18">
      <c r="A125" s="34" t="inlineStr">
        <is>
          <t>A_7_3</t>
        </is>
      </c>
      <c r="B125" s="34" t="inlineStr">
        <is>
          <t xml:space="preserve">  Zones de mouillages</t>
        </is>
      </c>
      <c r="C125" s="34" t="n">
        <v>2</v>
      </c>
    </row>
    <row r="126" ht="15" customHeight="1" s="18">
      <c r="A126" s="34" t="inlineStr">
        <is>
          <t>A_7_3_1</t>
        </is>
      </c>
      <c r="B126" s="34" t="inlineStr">
        <is>
          <t xml:space="preserve">    Mouillage sur corps-morts</t>
        </is>
      </c>
      <c r="C126" s="34" t="n">
        <v>3</v>
      </c>
    </row>
    <row r="127" ht="15" customHeight="1" s="18">
      <c r="A127" s="34" t="inlineStr">
        <is>
          <t>A_7_3_2</t>
        </is>
      </c>
      <c r="B127" s="34" t="inlineStr">
        <is>
          <t xml:space="preserve">    Mouillage au moyen d'une ancre</t>
        </is>
      </c>
      <c r="C127" s="34" t="n">
        <v>3</v>
      </c>
    </row>
    <row r="128" ht="15" customHeight="1" s="18">
      <c r="A128" s="34" t="inlineStr">
        <is>
          <t>A_8</t>
        </is>
      </c>
      <c r="B128" s="34" t="inlineStr">
        <is>
          <t>Autre</t>
        </is>
      </c>
      <c r="C128" s="34" t="n">
        <v>1</v>
      </c>
    </row>
    <row r="129" ht="15" customHeight="1" s="18">
      <c r="A129" s="34" t="inlineStr">
        <is>
          <t>A_8_1_1</t>
        </is>
      </c>
      <c r="B129" s="34" t="inlineStr">
        <is>
          <t xml:space="preserve">    Activités de défense en mer (hors navigation)</t>
        </is>
      </c>
      <c r="C129" s="34" t="n">
        <v>3</v>
      </c>
    </row>
    <row r="130" ht="15" customHeight="1" s="18">
      <c r="A130" s="34" t="inlineStr">
        <is>
          <t>A_8_1_2</t>
        </is>
      </c>
      <c r="B130" s="34" t="inlineStr">
        <is>
          <t xml:space="preserve">    Activités de recherche scientifique en mer</t>
        </is>
      </c>
      <c r="C130" s="34" t="n">
        <v>3</v>
      </c>
    </row>
    <row r="131" ht="15" customHeight="1" s="18">
      <c r="A131" s="34" t="inlineStr">
        <is>
          <t>A_8_1_3</t>
        </is>
      </c>
      <c r="B131" s="34" t="inlineStr">
        <is>
          <t xml:space="preserve">    Prospection par acoustique sismique ou sonar</t>
        </is>
      </c>
      <c r="C131" s="34" t="n">
        <v>3</v>
      </c>
    </row>
  </sheetData>
  <autoFilter ref="A1:C13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title xmlns:dc="http://purl.org/dc/elements/1.1/">Carpediem V2 : modèle de classeur de correspondance V1 vers V2</dc:title>
  <dc:language xmlns:dc="http://purl.org/dc/elements/1.1/">en-US</dc:language>
  <dcterms:created xmlns:dcterms="http://purl.org/dc/terms/" xmlns:xsi="http://www.w3.org/2001/XMLSchema-instance" xsi:type="dcterms:W3CDTF">2026-10-05T16:57:13Z</dcterms:created>
  <dcterms:modified xmlns:dcterms="http://purl.org/dc/terms/" xmlns:xsi="http://www.w3.org/2001/XMLSchema-instance" xsi:type="dcterms:W3CDTF">2026-10-26T14:00:13Z</dcterms:modified>
  <cp:revision>0</cp:revision>
</cp:coreProperties>
</file>